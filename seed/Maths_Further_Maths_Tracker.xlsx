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Overview" sheetId="2" state="visible" r:id="rId4"/>
  </sheets>
  <definedNames>
    <definedName function="false" hidden="true" localSheetId="0" name="_xlnm._FilterDatabase" vbProcedure="false">Tracker!$A$4:$O$84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<sst xmlns="http://schemas.openxmlformats.org/spreadsheetml/2006/main" count="525" uniqueCount="204">
  <si>
    <t xml:space="preserve">A-level Maths &amp; Further Maths tracker</t>
  </si>
  <si>
    <t xml:space="preserve">Fill in the cream columns. Status: — / In progress / Done. Confidence 1 (shaky) to 5 (exam-ready). Dates DD/MM/YYYY. 'Days since' turns orange after 21 days and red after 42. Term = when school teaches it. Level A = A-level only (not on AS). Use the filter arrows to show one strand or term.</t>
  </si>
  <si>
    <t xml:space="preserve">Strand</t>
  </si>
  <si>
    <t xml:space="preserve">Book</t>
  </si>
  <si>
    <t xml:space="preserve">Ch</t>
  </si>
  <si>
    <t xml:space="preserve">Chapter</t>
  </si>
  <si>
    <t xml:space="preserve">Sections</t>
  </si>
  <si>
    <t xml:space="preserve">Level</t>
  </si>
  <si>
    <t xml:space="preserve">Term</t>
  </si>
  <si>
    <t xml:space="preserve">Taught</t>
  </si>
  <si>
    <t xml:space="preserve">Summary</t>
  </si>
  <si>
    <t xml:space="preserve">Exercises</t>
  </si>
  <si>
    <t xml:space="preserve">Exam Qs</t>
  </si>
  <si>
    <t xml:space="preserve">Confidence</t>
  </si>
  <si>
    <t xml:space="preserve">Last revisited</t>
  </si>
  <si>
    <t xml:space="preserve">Days since</t>
  </si>
  <si>
    <t xml:space="preserve">Notes</t>
  </si>
  <si>
    <t xml:space="preserve">Pure</t>
  </si>
  <si>
    <t xml:space="preserve">Maths Y1 (red)</t>
  </si>
  <si>
    <t xml:space="preserve">Proof and mathematical communication</t>
  </si>
  <si>
    <t xml:space="preserve">Structures &amp; arguments; Inequality notation; Disproof by counter-example; Proof by deduction; Proof by exhaustion</t>
  </si>
  <si>
    <t xml:space="preserve">AS</t>
  </si>
  <si>
    <t xml:space="preserve">Autumn Y12</t>
  </si>
  <si>
    <t xml:space="preserve">Indices and surds</t>
  </si>
  <si>
    <t xml:space="preserve">Laws of indices; Working with surds</t>
  </si>
  <si>
    <t xml:space="preserve">Quadratic functions</t>
  </si>
  <si>
    <t xml:space="preserve">Review; Graphs; Completing the square; Quadratic inequalities; Discriminant; Disguised quadratics</t>
  </si>
  <si>
    <t xml:space="preserve">Polynomials</t>
  </si>
  <si>
    <t xml:space="preserve">Working with polynomials; Polynomial division; Factor theorem; Sketching polynomials</t>
  </si>
  <si>
    <t xml:space="preserve">Using graphs</t>
  </si>
  <si>
    <t xml:space="preserve">Intersections; Discriminant revisited; Transforming graphs; Graphs of a/x and a/x²; Direct &amp; inverse proportion; Inequalities in two variables</t>
  </si>
  <si>
    <t xml:space="preserve">Coordinate geometry</t>
  </si>
  <si>
    <t xml:space="preserve">Midpoint &amp; distance; Straight lines; Parallel &amp; perpendicular; Equation of a circle; Lines &amp; circles problems</t>
  </si>
  <si>
    <t xml:space="preserve">Logarithms</t>
  </si>
  <si>
    <t xml:space="preserve">Introducing logs; Laws of logs; Exponential equations; Disguised quadratics</t>
  </si>
  <si>
    <t xml:space="preserve">Exponential models</t>
  </si>
  <si>
    <t xml:space="preserve">Exponential graphs; Log graphs; Modelling; Fitting models to data</t>
  </si>
  <si>
    <t xml:space="preserve">Binomial expansion</t>
  </si>
  <si>
    <t xml:space="preserve">Binomial theorem; Binomial coefficients; Applications</t>
  </si>
  <si>
    <t xml:space="preserve">Trigonometric functions and equations</t>
  </si>
  <si>
    <t xml:space="preserve">Sin &amp; cos graphs; Tan; Exact values; Identities; Trig equations; Transformations; Harder trig equations</t>
  </si>
  <si>
    <t xml:space="preserve">Triangle geometry</t>
  </si>
  <si>
    <t xml:space="preserve">Sine rule; Cosine rule; Area of a triangle</t>
  </si>
  <si>
    <t xml:space="preserve">Vectors</t>
  </si>
  <si>
    <t xml:space="preserve">Describing vectors; Operations; Position &amp; displacement; Geometric problems</t>
  </si>
  <si>
    <t xml:space="preserve">Differentiation</t>
  </si>
  <si>
    <t xml:space="preserve">Sketching derivatives; First principles; Rules; Terms of form axⁿ; Interpreting 1st &amp; 2nd derivatives</t>
  </si>
  <si>
    <t xml:space="preserve">Applications of differentiation</t>
  </si>
  <si>
    <t xml:space="preserve">Tangents &amp; normals; Stationary points; Optimisation</t>
  </si>
  <si>
    <t xml:space="preserve">Integration</t>
  </si>
  <si>
    <t xml:space="preserve">Rules; Terms of form axⁿ; Equation of a curve; Definite integration; Area under a curve</t>
  </si>
  <si>
    <t xml:space="preserve">Maths Y2 (green)</t>
  </si>
  <si>
    <t xml:space="preserve">Methods of proof; Proof by contradiction; Criticising proofs</t>
  </si>
  <si>
    <t xml:space="preserve">A</t>
  </si>
  <si>
    <t xml:space="preserve">Spring Y12</t>
  </si>
  <si>
    <t xml:space="preserve">Functions</t>
  </si>
  <si>
    <t xml:space="preserve">Mappings &amp; functions; Domain &amp; range; Composite functions; Inverse functions</t>
  </si>
  <si>
    <t xml:space="preserve">Autumn Y12 &amp; Spring Y12</t>
  </si>
  <si>
    <t xml:space="preserve">Further transformations of graphs</t>
  </si>
  <si>
    <t xml:space="preserve">Combined transformations; Modulus function; Modulus equations &amp; inequalities</t>
  </si>
  <si>
    <t xml:space="preserve">Sequences and series</t>
  </si>
  <si>
    <t xml:space="preserve">General sequences; Sigma notation; Arithmetic sequences &amp; series; Geometric sequences &amp; series; Infinite geometric series; Problem solving</t>
  </si>
  <si>
    <t xml:space="preserve">Rational functions and partial fractions</t>
  </si>
  <si>
    <t xml:space="preserve">Factor theorem review; Simplifying rational expressions; Distinct factors; Repeated factor</t>
  </si>
  <si>
    <t xml:space="preserve">General binomial expansion</t>
  </si>
  <si>
    <t xml:space="preserve">General binomial expansion; Compound expressions</t>
  </si>
  <si>
    <t xml:space="preserve">Radian measure</t>
  </si>
  <si>
    <t xml:space="preserve">Radians; Inverse trig &amp; trig equations; Modelling with trig; Arcs &amp; sectors; Triangles &amp; circles; Small angle approximations</t>
  </si>
  <si>
    <t xml:space="preserve">Further trigonometry</t>
  </si>
  <si>
    <t xml:space="preserve">Compound angle identities; Double angle identities; a sin x + b cos x; Reciprocal trig functions</t>
  </si>
  <si>
    <t xml:space="preserve">Calculus of exponential and trig functions</t>
  </si>
  <si>
    <t xml:space="preserve">Differentiation; Integration</t>
  </si>
  <si>
    <t xml:space="preserve">Further differentiation</t>
  </si>
  <si>
    <t xml:space="preserve">Chain rule; Product rule; Quotient rule; Implicit differentiation; Differentiating inverse functions</t>
  </si>
  <si>
    <t xml:space="preserve">Further integration techniques</t>
  </si>
  <si>
    <t xml:space="preserve">Reversing standard derivatives; Substitution; By parts; Trig identities in integration; Rational functions</t>
  </si>
  <si>
    <t xml:space="preserve">Summer Y12</t>
  </si>
  <si>
    <t xml:space="preserve">Further applications of calculus</t>
  </si>
  <si>
    <t xml:space="preserve">Properties of curves; Parametric equations; Related rates of change; More complicated areas</t>
  </si>
  <si>
    <t xml:space="preserve">Differential equations</t>
  </si>
  <si>
    <t xml:space="preserve">Introduction; Separable DEs; Modelling with DEs</t>
  </si>
  <si>
    <t xml:space="preserve">Autumn Y13</t>
  </si>
  <si>
    <t xml:space="preserve">Numerical solution of equations</t>
  </si>
  <si>
    <t xml:space="preserve">Locating roots; Newton–Raphson; Limitations of N–R; Fixed-point iteration; Limitations &amp; rearrangements</t>
  </si>
  <si>
    <t xml:space="preserve">Numerical integration</t>
  </si>
  <si>
    <t xml:space="preserve">Integration as limit of a sum; Trapezium rule</t>
  </si>
  <si>
    <t xml:space="preserve">Pure Core</t>
  </si>
  <si>
    <t xml:space="preserve">Further Pure Core 1 (blue)</t>
  </si>
  <si>
    <t xml:space="preserve">Matrices</t>
  </si>
  <si>
    <t xml:space="preserve">Add, subtract, scalar multiply; Matrix multiplication; Det &amp; inverse 2×2; Det &amp; inverse 3×3</t>
  </si>
  <si>
    <t xml:space="preserve">Further vectors</t>
  </si>
  <si>
    <t xml:space="preserve">Vector equation of a line; Cartesian equation; Intersections of lines; Angles &amp; scalar product; Vector product</t>
  </si>
  <si>
    <t xml:space="preserve">Applications of matrices</t>
  </si>
  <si>
    <t xml:space="preserve">Linear simultaneous equations; Matrices as transformations; Further 2D transformations; Invariant points &amp; lines; 3D transformations</t>
  </si>
  <si>
    <t xml:space="preserve">Complex numbers</t>
  </si>
  <si>
    <t xml:space="preserve">Arithmetic of i; Division &amp; conjugates; Geometric representation; Modulus &amp; argument; Loci; Mod-arg operations</t>
  </si>
  <si>
    <t xml:space="preserve">Roots of polynomials</t>
  </si>
  <si>
    <t xml:space="preserve">Factorising; Complex solutions; Roots &amp; coefficients; Equation with given roots; Transforming equations</t>
  </si>
  <si>
    <t xml:space="preserve">Mathematical induction</t>
  </si>
  <si>
    <t xml:space="preserve">Principle of induction; Induction &amp; matrices; Divisibility; Inequalities</t>
  </si>
  <si>
    <t xml:space="preserve">Further Pure Core 2</t>
  </si>
  <si>
    <t xml:space="preserve">Series and induction</t>
  </si>
  <si>
    <t xml:space="preserve">Review of induction; Induction &amp; series; Standard series; Method of differences</t>
  </si>
  <si>
    <t xml:space="preserve">Powers and roots of complex numbers</t>
  </si>
  <si>
    <t xml:space="preserve">De Moivre; Complex exponents; Roots of complex numbers; Roots of unity; Further factorising; Geometry of complex numbers</t>
  </si>
  <si>
    <t xml:space="preserve">Complex numbers and trigonometry</t>
  </si>
  <si>
    <t xml:space="preserve">Multiple angle formulae; Polynomial equations; Powers of trig functions; Trig series</t>
  </si>
  <si>
    <t xml:space="preserve">Lines and planes in space</t>
  </si>
  <si>
    <t xml:space="preserve">Equation of a plane; Line–plane intersection; Angles between lines &amp; planes; Distances</t>
  </si>
  <si>
    <t xml:space="preserve">Simultaneous equations and planes</t>
  </si>
  <si>
    <t xml:space="preserve">Linear simultaneous equations; Intersections of planes</t>
  </si>
  <si>
    <t xml:space="preserve">Hyperbolic functions</t>
  </si>
  <si>
    <t xml:space="preserve">Definitions; Inverse hyperbolics; Identities; Harder equations; Differentiation; Integration</t>
  </si>
  <si>
    <t xml:space="preserve">Further calculus techniques</t>
  </si>
  <si>
    <t xml:space="preserve">Differentiating inverse trig; Differentiating inverse hyperbolics; Integration using inverse trig/hyperbolics; Partial fractions in integration</t>
  </si>
  <si>
    <t xml:space="preserve">Applications of calculus</t>
  </si>
  <si>
    <t xml:space="preserve">Maclaurin series; Standard Maclaurin series; Improper integrals; Volumes of revolution; Mean value of a function</t>
  </si>
  <si>
    <t xml:space="preserve">Polar coordinates</t>
  </si>
  <si>
    <t xml:space="preserve">Polar curves; Features of polar curves; Polar ↔ Cartesian; Area enclosed; Area between curves</t>
  </si>
  <si>
    <t xml:space="preserve">Spring Y13</t>
  </si>
  <si>
    <t xml:space="preserve">Terminology; Integrating factor; Homogeneous 2nd order; Non-homogeneous 2nd order</t>
  </si>
  <si>
    <t xml:space="preserve">Applications of differential equations</t>
  </si>
  <si>
    <t xml:space="preserve">Forming DEs; Simple harmonic motion; Damping &amp; damped oscillations; Linear systems</t>
  </si>
  <si>
    <t xml:space="preserve">Statistics</t>
  </si>
  <si>
    <t xml:space="preserve">Working with data</t>
  </si>
  <si>
    <t xml:space="preserve">Statistical diagrams; Standard deviation; Frequency tables; Scatter &amp; correlation; Outliers &amp; cleaning data</t>
  </si>
  <si>
    <t xml:space="preserve">Probability</t>
  </si>
  <si>
    <t xml:space="preserve">Combining probabilities; Probability distributions; Binomial distribution</t>
  </si>
  <si>
    <t xml:space="preserve">Statistical hypothesis testing</t>
  </si>
  <si>
    <t xml:space="preserve">Populations &amp; samples; Intro to hypothesis testing; Critical regions</t>
  </si>
  <si>
    <t xml:space="preserve">Conditional probability</t>
  </si>
  <si>
    <t xml:space="preserve">Set notation &amp; Venn diagrams; Two-way tables; Tree diagrams; Modelling with probability</t>
  </si>
  <si>
    <t xml:space="preserve">The normal distribution</t>
  </si>
  <si>
    <t xml:space="preserve">Normal probabilities; Inverse normal; Finding unknown μ or σ; Modelling with the normal</t>
  </si>
  <si>
    <t xml:space="preserve">Further hypothesis testing</t>
  </si>
  <si>
    <t xml:space="preserve">Distribution of sample mean; Tests for a mean; Tests for correlation coefficients</t>
  </si>
  <si>
    <t xml:space="preserve">Further Stats</t>
  </si>
  <si>
    <t xml:space="preserve">Counting principles and probability</t>
  </si>
  <si>
    <t xml:space="preserve">Product &amp; addition principles; Permutations; Combinations; Exclusion principle; Order matters; Together or separated; Repetitions; Counting in probability</t>
  </si>
  <si>
    <t xml:space="preserve">Discrete random variables</t>
  </si>
  <si>
    <t xml:space="preserve">Average &amp; spread; E &amp; Var of transformations; Discrete uniform; Binomial; Geometric</t>
  </si>
  <si>
    <t xml:space="preserve">Poisson distribution</t>
  </si>
  <si>
    <t xml:space="preserve">Using the Poisson model</t>
  </si>
  <si>
    <t xml:space="preserve">Non-parametric hypothesis tests</t>
  </si>
  <si>
    <t xml:space="preserve">Sign test; Wilcoxon signed-rank; Matched pairs; Wilcoxon rank-sum; Normal approximations</t>
  </si>
  <si>
    <t xml:space="preserve">Correlation and regression</t>
  </si>
  <si>
    <t xml:space="preserve">Pearson's PMCC; Spearman's rank; Linear regression</t>
  </si>
  <si>
    <t xml:space="preserve">Chi-squared tests</t>
  </si>
  <si>
    <t xml:space="preserve">Contingency tables; Yates' correction; Goodness-of-fit</t>
  </si>
  <si>
    <t xml:space="preserve">Continuous distributions</t>
  </si>
  <si>
    <t xml:space="preserve">Continuous RVs; Averages &amp; spread; E &amp; Var of functions; CDFs; Piecewise PDFs; Continuous uniform; Exponential; Functions of a continuous RV; Goodness-of-fit (continuous)</t>
  </si>
  <si>
    <t xml:space="preserve">Combining random variables</t>
  </si>
  <si>
    <t xml:space="preserve">Adding independent RVs; E &amp; Var of sample mean; Unbiased estimates; Linear combinations of normals; Means of large samples</t>
  </si>
  <si>
    <t xml:space="preserve">Further hypothesis tests and confidence intervals</t>
  </si>
  <si>
    <t xml:space="preserve">Tests for mean of a large sample; Confidence intervals</t>
  </si>
  <si>
    <t xml:space="preserve">Mechanics</t>
  </si>
  <si>
    <t xml:space="preserve">Introduction to kinematics</t>
  </si>
  <si>
    <t xml:space="preserve">Models in mechanics; Displacement, velocity, acceleration; Kinematics &amp; calculus; Travel graphs; Kinematics problems</t>
  </si>
  <si>
    <t xml:space="preserve">Motion with constant acceleration</t>
  </si>
  <si>
    <t xml:space="preserve">Deriving suvat; Using suvat; Vertical motion under gravity; Multi-stage problems</t>
  </si>
  <si>
    <t xml:space="preserve">Force and motion</t>
  </si>
  <si>
    <t xml:space="preserve">Newton's laws; Combining forces; Types of forces; Gravity &amp; weight; Forces in equilibrium</t>
  </si>
  <si>
    <t xml:space="preserve">Objects in contact</t>
  </si>
  <si>
    <t xml:space="preserve">Newton's third law; Normal reaction; Further equilibrium; Connected particles; Pulleys</t>
  </si>
  <si>
    <t xml:space="preserve">Applications of vectors</t>
  </si>
  <si>
    <t xml:space="preserve">Motion in 2D; Constant acceleration equations; Calculus with vectors; Vectors in 3D; Geometrical problems</t>
  </si>
  <si>
    <t xml:space="preserve">Projectiles</t>
  </si>
  <si>
    <t xml:space="preserve">Modelling projectile motion; Trajectory of a projectile</t>
  </si>
  <si>
    <t xml:space="preserve">Forces in context</t>
  </si>
  <si>
    <t xml:space="preserve">Resolving forces; Coefficient of friction; Motion on a slope; Further equilibrium</t>
  </si>
  <si>
    <t xml:space="preserve">Moments</t>
  </si>
  <si>
    <t xml:space="preserve">Turning effect of a force; Equilibrium; Non-uniform rods; Further equilibrium</t>
  </si>
  <si>
    <t xml:space="preserve">Further Mechanics</t>
  </si>
  <si>
    <t xml:space="preserve">Work, energy and power 1</t>
  </si>
  <si>
    <t xml:space="preserve">Work done by a force; KE &amp; work–energy principle; PE &amp; conservation of energy; Force at an angle; Power</t>
  </si>
  <si>
    <t xml:space="preserve">Dimensional analysis</t>
  </si>
  <si>
    <t xml:space="preserve">Defining dimensions; Units of sums, differences &amp; angles; Dimensions from units &amp; predicting formulae; Summary</t>
  </si>
  <si>
    <t xml:space="preserve">Momentum and collisions 1</t>
  </si>
  <si>
    <t xml:space="preserve">Momentum &amp; impulse; Conservation of momentum; Restitution, KE &amp; impulsive tension</t>
  </si>
  <si>
    <t xml:space="preserve">Circular motion 1</t>
  </si>
  <si>
    <t xml:space="preserve">Linear vs angular speed; Acceleration in horizontal circles; Horizontal circle problems</t>
  </si>
  <si>
    <t xml:space="preserve">Centres of mass 1</t>
  </si>
  <si>
    <t xml:space="preserve">Systems of point masses; Standard shapes; Composite bodies</t>
  </si>
  <si>
    <t xml:space="preserve">Work, energy and power 2</t>
  </si>
  <si>
    <t xml:space="preserve">Variable force; Hooke's law &amp; EPE; Problem solving; Vectors for work, KE &amp; power</t>
  </si>
  <si>
    <t xml:space="preserve">Linear motion under variable force</t>
  </si>
  <si>
    <t xml:space="preserve">Acceleration, velocity &amp; displacement; Variable force</t>
  </si>
  <si>
    <t xml:space="preserve">Momentum and collisions 2</t>
  </si>
  <si>
    <t xml:space="preserve">Variable force &amp; vector notation; Oblique impacts &amp; impulse–momentum triangle; Oblique collisions of spheres &amp; impulsive tensions</t>
  </si>
  <si>
    <t xml:space="preserve">Circular motion 2</t>
  </si>
  <si>
    <t xml:space="preserve">Conservation of energy; Components of acceleration (A only); Problem solving (A only)</t>
  </si>
  <si>
    <t xml:space="preserve">AS/A</t>
  </si>
  <si>
    <t xml:space="preserve">Autumn Y13 &amp; Spring Y13</t>
  </si>
  <si>
    <t xml:space="preserve">Centres of mass 2</t>
  </si>
  <si>
    <t xml:space="preserve">Centres of mass by integration; Equilibrium of a rigid body</t>
  </si>
  <si>
    <t xml:space="preserve">Progress overview</t>
  </si>
  <si>
    <t xml:space="preserve">Chapters</t>
  </si>
  <si>
    <t xml:space="preserve">Summaries done</t>
  </si>
  <si>
    <t xml:space="preserve">Exercises done</t>
  </si>
  <si>
    <t xml:space="preserve">Exam Qs done</t>
  </si>
  <si>
    <t xml:space="preserve">Avg confidence</t>
  </si>
  <si>
    <t xml:space="preserve">Chapters at 1–2</t>
  </si>
  <si>
    <t xml:space="preserve">Total</t>
  </si>
  <si>
    <t xml:space="preserve">Chapters taught across two terms count in both. Everything updates automatically from the Tracker tab.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</si>
</sst>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9E6"/>
        <bgColor rgb="FFFFFFFF"/>
      </patternFill>
    </fill>
    <fill>
      <patternFill patternType="solid">
        <fgColor rgb="FFBDD7EE"/>
        <bgColor rgb="FFD0D0D0"/>
      </patternFill>
    </fill>
    <fill>
      <patternFill patternType="solid">
        <fgColor rgb="FFE2EFDA"/>
        <bgColor rgb="FFDDEBF7"/>
      </patternFill>
    </fill>
    <fill>
      <patternFill patternType="solid">
        <fgColor rgb="FFC6E0B4"/>
        <bgColor rgb="FFC6EFCE"/>
      </patternFill>
    </fill>
    <fill>
      <patternFill patternType="solid">
        <fgColor rgb="FFFCE4D6"/>
        <bgColor rgb="FFE2EFDA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6E0B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4" min="4" style="0" width="34"/>
    <col collapsed="false" customWidth="true" hidden="false" outlineLevel="0" max="5" min="5" style="0" width="56"/>
    <col collapsed="false" customWidth="true" hidden="false" outlineLevel="0" max="6" min="6" style="0" width="7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2" min="9" style="0" width="11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2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3.85" hidden="false" customHeight="false" outlineLevel="0" collapsed="false">
      <c r="A5" s="4" t="s">
        <v>17</v>
      </c>
      <c r="B5" s="4" t="s">
        <v>18</v>
      </c>
      <c r="C5" s="5" t="n">
        <v>1</v>
      </c>
      <c r="D5" s="6" t="s">
        <v>19</v>
      </c>
      <c r="E5" s="7" t="s">
        <v>20</v>
      </c>
      <c r="F5" s="8" t="s">
        <v>21</v>
      </c>
      <c r="G5" s="8" t="s">
        <v>22</v>
      </c>
      <c r="H5" s="9"/>
      <c r="I5" s="10"/>
      <c r="J5" s="10"/>
      <c r="K5" s="10"/>
      <c r="L5" s="10"/>
      <c r="M5" s="9"/>
      <c r="N5" s="8" t="str">
        <f aca="true">IF(M5="","",TODAY()-M5)</f>
        <v/>
      </c>
      <c r="O5" s="11"/>
    </row>
    <row r="6" customFormat="false" ht="15" hidden="false" customHeight="false" outlineLevel="0" collapsed="false">
      <c r="A6" s="4" t="s">
        <v>17</v>
      </c>
      <c r="B6" s="4" t="s">
        <v>18</v>
      </c>
      <c r="C6" s="5" t="n">
        <v>2</v>
      </c>
      <c r="D6" s="6" t="s">
        <v>23</v>
      </c>
      <c r="E6" s="7" t="s">
        <v>24</v>
      </c>
      <c r="F6" s="8" t="s">
        <v>21</v>
      </c>
      <c r="G6" s="8" t="s">
        <v>22</v>
      </c>
      <c r="H6" s="9"/>
      <c r="I6" s="10"/>
      <c r="J6" s="10"/>
      <c r="K6" s="10"/>
      <c r="L6" s="10"/>
      <c r="M6" s="9"/>
      <c r="N6" s="8" t="str">
        <f aca="true">IF(M6="","",TODAY()-M6)</f>
        <v/>
      </c>
      <c r="O6" s="11"/>
    </row>
    <row r="7" customFormat="false" ht="23.85" hidden="false" customHeight="false" outlineLevel="0" collapsed="false">
      <c r="A7" s="4" t="s">
        <v>17</v>
      </c>
      <c r="B7" s="4" t="s">
        <v>18</v>
      </c>
      <c r="C7" s="5" t="n">
        <v>3</v>
      </c>
      <c r="D7" s="6" t="s">
        <v>25</v>
      </c>
      <c r="E7" s="7" t="s">
        <v>26</v>
      </c>
      <c r="F7" s="8" t="s">
        <v>21</v>
      </c>
      <c r="G7" s="8" t="s">
        <v>22</v>
      </c>
      <c r="H7" s="9"/>
      <c r="I7" s="10"/>
      <c r="J7" s="10"/>
      <c r="K7" s="10"/>
      <c r="L7" s="10"/>
      <c r="M7" s="9"/>
      <c r="N7" s="8" t="str">
        <f aca="true">IF(M7="","",TODAY()-M7)</f>
        <v/>
      </c>
      <c r="O7" s="11"/>
    </row>
    <row r="8" customFormat="false" ht="23.85" hidden="false" customHeight="false" outlineLevel="0" collapsed="false">
      <c r="A8" s="4" t="s">
        <v>17</v>
      </c>
      <c r="B8" s="4" t="s">
        <v>18</v>
      </c>
      <c r="C8" s="5" t="n">
        <v>4</v>
      </c>
      <c r="D8" s="6" t="s">
        <v>27</v>
      </c>
      <c r="E8" s="7" t="s">
        <v>28</v>
      </c>
      <c r="F8" s="8" t="s">
        <v>21</v>
      </c>
      <c r="G8" s="8" t="s">
        <v>22</v>
      </c>
      <c r="H8" s="9"/>
      <c r="I8" s="10"/>
      <c r="J8" s="10"/>
      <c r="K8" s="10"/>
      <c r="L8" s="10"/>
      <c r="M8" s="9"/>
      <c r="N8" s="8" t="str">
        <f aca="true">IF(M8="","",TODAY()-M8)</f>
        <v/>
      </c>
      <c r="O8" s="11"/>
    </row>
    <row r="9" customFormat="false" ht="23.85" hidden="false" customHeight="false" outlineLevel="0" collapsed="false">
      <c r="A9" s="4" t="s">
        <v>17</v>
      </c>
      <c r="B9" s="4" t="s">
        <v>18</v>
      </c>
      <c r="C9" s="5" t="n">
        <v>5</v>
      </c>
      <c r="D9" s="6" t="s">
        <v>29</v>
      </c>
      <c r="E9" s="7" t="s">
        <v>30</v>
      </c>
      <c r="F9" s="8" t="s">
        <v>21</v>
      </c>
      <c r="G9" s="8" t="s">
        <v>22</v>
      </c>
      <c r="H9" s="9"/>
      <c r="I9" s="10"/>
      <c r="J9" s="10"/>
      <c r="K9" s="10"/>
      <c r="L9" s="10"/>
      <c r="M9" s="9"/>
      <c r="N9" s="8" t="str">
        <f aca="true">IF(M9="","",TODAY()-M9)</f>
        <v/>
      </c>
      <c r="O9" s="11"/>
    </row>
    <row r="10" customFormat="false" ht="23.85" hidden="false" customHeight="false" outlineLevel="0" collapsed="false">
      <c r="A10" s="4" t="s">
        <v>17</v>
      </c>
      <c r="B10" s="4" t="s">
        <v>18</v>
      </c>
      <c r="C10" s="5" t="n">
        <v>6</v>
      </c>
      <c r="D10" s="6" t="s">
        <v>31</v>
      </c>
      <c r="E10" s="7" t="s">
        <v>32</v>
      </c>
      <c r="F10" s="8" t="s">
        <v>21</v>
      </c>
      <c r="G10" s="8" t="s">
        <v>22</v>
      </c>
      <c r="H10" s="9"/>
      <c r="I10" s="10"/>
      <c r="J10" s="10"/>
      <c r="K10" s="10"/>
      <c r="L10" s="10"/>
      <c r="M10" s="9"/>
      <c r="N10" s="8" t="str">
        <f aca="true">IF(M10="","",TODAY()-M10)</f>
        <v/>
      </c>
      <c r="O10" s="11"/>
    </row>
    <row r="11" customFormat="false" ht="23.85" hidden="false" customHeight="false" outlineLevel="0" collapsed="false">
      <c r="A11" s="4" t="s">
        <v>17</v>
      </c>
      <c r="B11" s="4" t="s">
        <v>18</v>
      </c>
      <c r="C11" s="5" t="n">
        <v>7</v>
      </c>
      <c r="D11" s="6" t="s">
        <v>33</v>
      </c>
      <c r="E11" s="7" t="s">
        <v>34</v>
      </c>
      <c r="F11" s="8" t="s">
        <v>21</v>
      </c>
      <c r="G11" s="8" t="s">
        <v>22</v>
      </c>
      <c r="H11" s="9"/>
      <c r="I11" s="10"/>
      <c r="J11" s="10"/>
      <c r="K11" s="10"/>
      <c r="L11" s="10"/>
      <c r="M11" s="9"/>
      <c r="N11" s="8" t="str">
        <f aca="true">IF(M11="","",TODAY()-M11)</f>
        <v/>
      </c>
      <c r="O11" s="11"/>
    </row>
    <row r="12" customFormat="false" ht="15" hidden="false" customHeight="false" outlineLevel="0" collapsed="false">
      <c r="A12" s="4" t="s">
        <v>17</v>
      </c>
      <c r="B12" s="4" t="s">
        <v>18</v>
      </c>
      <c r="C12" s="5" t="n">
        <v>8</v>
      </c>
      <c r="D12" s="6" t="s">
        <v>35</v>
      </c>
      <c r="E12" s="7" t="s">
        <v>36</v>
      </c>
      <c r="F12" s="8" t="s">
        <v>21</v>
      </c>
      <c r="G12" s="8" t="s">
        <v>22</v>
      </c>
      <c r="H12" s="9"/>
      <c r="I12" s="10"/>
      <c r="J12" s="10"/>
      <c r="K12" s="10"/>
      <c r="L12" s="10"/>
      <c r="M12" s="9"/>
      <c r="N12" s="8" t="str">
        <f aca="true">IF(M12="","",TODAY()-M12)</f>
        <v/>
      </c>
      <c r="O12" s="11"/>
    </row>
    <row r="13" customFormat="false" ht="15" hidden="false" customHeight="false" outlineLevel="0" collapsed="false">
      <c r="A13" s="4" t="s">
        <v>17</v>
      </c>
      <c r="B13" s="4" t="s">
        <v>18</v>
      </c>
      <c r="C13" s="5" t="n">
        <v>9</v>
      </c>
      <c r="D13" s="6" t="s">
        <v>37</v>
      </c>
      <c r="E13" s="7" t="s">
        <v>38</v>
      </c>
      <c r="F13" s="8" t="s">
        <v>21</v>
      </c>
      <c r="G13" s="8" t="s">
        <v>22</v>
      </c>
      <c r="H13" s="9"/>
      <c r="I13" s="10"/>
      <c r="J13" s="10"/>
      <c r="K13" s="10"/>
      <c r="L13" s="10"/>
      <c r="M13" s="9"/>
      <c r="N13" s="8" t="str">
        <f aca="true">IF(M13="","",TODAY()-M13)</f>
        <v/>
      </c>
      <c r="O13" s="11"/>
    </row>
    <row r="14" customFormat="false" ht="23.85" hidden="false" customHeight="false" outlineLevel="0" collapsed="false">
      <c r="A14" s="4" t="s">
        <v>17</v>
      </c>
      <c r="B14" s="4" t="s">
        <v>18</v>
      </c>
      <c r="C14" s="5" t="n">
        <v>10</v>
      </c>
      <c r="D14" s="6" t="s">
        <v>39</v>
      </c>
      <c r="E14" s="7" t="s">
        <v>40</v>
      </c>
      <c r="F14" s="8" t="s">
        <v>21</v>
      </c>
      <c r="G14" s="8" t="s">
        <v>22</v>
      </c>
      <c r="H14" s="9"/>
      <c r="I14" s="10"/>
      <c r="J14" s="10"/>
      <c r="K14" s="10"/>
      <c r="L14" s="10"/>
      <c r="M14" s="9"/>
      <c r="N14" s="8" t="str">
        <f aca="true">IF(M14="","",TODAY()-M14)</f>
        <v/>
      </c>
      <c r="O14" s="11"/>
    </row>
    <row r="15" customFormat="false" ht="15" hidden="false" customHeight="false" outlineLevel="0" collapsed="false">
      <c r="A15" s="4" t="s">
        <v>17</v>
      </c>
      <c r="B15" s="4" t="s">
        <v>18</v>
      </c>
      <c r="C15" s="5" t="n">
        <v>11</v>
      </c>
      <c r="D15" s="6" t="s">
        <v>41</v>
      </c>
      <c r="E15" s="7" t="s">
        <v>42</v>
      </c>
      <c r="F15" s="8" t="s">
        <v>21</v>
      </c>
      <c r="G15" s="8" t="s">
        <v>22</v>
      </c>
      <c r="H15" s="9"/>
      <c r="I15" s="10"/>
      <c r="J15" s="10"/>
      <c r="K15" s="10"/>
      <c r="L15" s="10"/>
      <c r="M15" s="9"/>
      <c r="N15" s="8" t="str">
        <f aca="true">IF(M15="","",TODAY()-M15)</f>
        <v/>
      </c>
      <c r="O15" s="11"/>
    </row>
    <row r="16" customFormat="false" ht="23.85" hidden="false" customHeight="false" outlineLevel="0" collapsed="false">
      <c r="A16" s="4" t="s">
        <v>17</v>
      </c>
      <c r="B16" s="4" t="s">
        <v>18</v>
      </c>
      <c r="C16" s="5" t="n">
        <v>12</v>
      </c>
      <c r="D16" s="6" t="s">
        <v>43</v>
      </c>
      <c r="E16" s="7" t="s">
        <v>44</v>
      </c>
      <c r="F16" s="8" t="s">
        <v>21</v>
      </c>
      <c r="G16" s="8" t="s">
        <v>22</v>
      </c>
      <c r="H16" s="9"/>
      <c r="I16" s="10"/>
      <c r="J16" s="10"/>
      <c r="K16" s="10"/>
      <c r="L16" s="10"/>
      <c r="M16" s="9"/>
      <c r="N16" s="8" t="str">
        <f aca="true">IF(M16="","",TODAY()-M16)</f>
        <v/>
      </c>
      <c r="O16" s="11"/>
    </row>
    <row r="17" customFormat="false" ht="23.85" hidden="false" customHeight="false" outlineLevel="0" collapsed="false">
      <c r="A17" s="4" t="s">
        <v>17</v>
      </c>
      <c r="B17" s="4" t="s">
        <v>18</v>
      </c>
      <c r="C17" s="5" t="n">
        <v>13</v>
      </c>
      <c r="D17" s="6" t="s">
        <v>45</v>
      </c>
      <c r="E17" s="7" t="s">
        <v>46</v>
      </c>
      <c r="F17" s="8" t="s">
        <v>21</v>
      </c>
      <c r="G17" s="8" t="s">
        <v>22</v>
      </c>
      <c r="H17" s="9"/>
      <c r="I17" s="10"/>
      <c r="J17" s="10"/>
      <c r="K17" s="10"/>
      <c r="L17" s="10"/>
      <c r="M17" s="9"/>
      <c r="N17" s="8" t="str">
        <f aca="true">IF(M17="","",TODAY()-M17)</f>
        <v/>
      </c>
      <c r="O17" s="11"/>
    </row>
    <row r="18" customFormat="false" ht="15" hidden="false" customHeight="false" outlineLevel="0" collapsed="false">
      <c r="A18" s="4" t="s">
        <v>17</v>
      </c>
      <c r="B18" s="4" t="s">
        <v>18</v>
      </c>
      <c r="C18" s="5" t="n">
        <v>14</v>
      </c>
      <c r="D18" s="6" t="s">
        <v>47</v>
      </c>
      <c r="E18" s="7" t="s">
        <v>48</v>
      </c>
      <c r="F18" s="8" t="s">
        <v>21</v>
      </c>
      <c r="G18" s="8" t="s">
        <v>22</v>
      </c>
      <c r="H18" s="9"/>
      <c r="I18" s="10"/>
      <c r="J18" s="10"/>
      <c r="K18" s="10"/>
      <c r="L18" s="10"/>
      <c r="M18" s="9"/>
      <c r="N18" s="8" t="str">
        <f aca="true">IF(M18="","",TODAY()-M18)</f>
        <v/>
      </c>
      <c r="O18" s="11"/>
    </row>
    <row r="19" customFormat="false" ht="23.85" hidden="false" customHeight="false" outlineLevel="0" collapsed="false">
      <c r="A19" s="4" t="s">
        <v>17</v>
      </c>
      <c r="B19" s="4" t="s">
        <v>18</v>
      </c>
      <c r="C19" s="5" t="n">
        <v>15</v>
      </c>
      <c r="D19" s="6" t="s">
        <v>49</v>
      </c>
      <c r="E19" s="7" t="s">
        <v>50</v>
      </c>
      <c r="F19" s="8" t="s">
        <v>21</v>
      </c>
      <c r="G19" s="8" t="s">
        <v>22</v>
      </c>
      <c r="H19" s="9"/>
      <c r="I19" s="10"/>
      <c r="J19" s="10"/>
      <c r="K19" s="10"/>
      <c r="L19" s="10"/>
      <c r="M19" s="9"/>
      <c r="N19" s="8" t="str">
        <f aca="true">IF(M19="","",TODAY()-M19)</f>
        <v/>
      </c>
      <c r="O19" s="11"/>
    </row>
    <row r="20" customFormat="false" ht="15" hidden="false" customHeight="false" outlineLevel="0" collapsed="false">
      <c r="A20" s="4" t="s">
        <v>17</v>
      </c>
      <c r="B20" s="4" t="s">
        <v>51</v>
      </c>
      <c r="C20" s="5" t="n">
        <v>1</v>
      </c>
      <c r="D20" s="6" t="s">
        <v>19</v>
      </c>
      <c r="E20" s="7" t="s">
        <v>52</v>
      </c>
      <c r="F20" s="8" t="s">
        <v>53</v>
      </c>
      <c r="G20" s="8" t="s">
        <v>54</v>
      </c>
      <c r="H20" s="9"/>
      <c r="I20" s="10"/>
      <c r="J20" s="10"/>
      <c r="K20" s="10"/>
      <c r="L20" s="10"/>
      <c r="M20" s="9"/>
      <c r="N20" s="8" t="str">
        <f aca="true">IF(M20="","",TODAY()-M20)</f>
        <v/>
      </c>
      <c r="O20" s="11"/>
    </row>
    <row r="21" customFormat="false" ht="23.85" hidden="false" customHeight="false" outlineLevel="0" collapsed="false">
      <c r="A21" s="4" t="s">
        <v>17</v>
      </c>
      <c r="B21" s="4" t="s">
        <v>51</v>
      </c>
      <c r="C21" s="5" t="n">
        <v>2</v>
      </c>
      <c r="D21" s="6" t="s">
        <v>55</v>
      </c>
      <c r="E21" s="7" t="s">
        <v>56</v>
      </c>
      <c r="F21" s="8" t="s">
        <v>53</v>
      </c>
      <c r="G21" s="8" t="s">
        <v>57</v>
      </c>
      <c r="H21" s="9"/>
      <c r="I21" s="10"/>
      <c r="J21" s="10"/>
      <c r="K21" s="10"/>
      <c r="L21" s="10"/>
      <c r="M21" s="9"/>
      <c r="N21" s="8" t="str">
        <f aca="true">IF(M21="","",TODAY()-M21)</f>
        <v/>
      </c>
      <c r="O21" s="11"/>
    </row>
    <row r="22" customFormat="false" ht="23.85" hidden="false" customHeight="false" outlineLevel="0" collapsed="false">
      <c r="A22" s="4" t="s">
        <v>17</v>
      </c>
      <c r="B22" s="4" t="s">
        <v>51</v>
      </c>
      <c r="C22" s="5" t="n">
        <v>3</v>
      </c>
      <c r="D22" s="6" t="s">
        <v>58</v>
      </c>
      <c r="E22" s="7" t="s">
        <v>59</v>
      </c>
      <c r="F22" s="8" t="s">
        <v>53</v>
      </c>
      <c r="G22" s="8" t="s">
        <v>54</v>
      </c>
      <c r="H22" s="9"/>
      <c r="I22" s="10"/>
      <c r="J22" s="10"/>
      <c r="K22" s="10"/>
      <c r="L22" s="10"/>
      <c r="M22" s="9"/>
      <c r="N22" s="8" t="str">
        <f aca="true">IF(M22="","",TODAY()-M22)</f>
        <v/>
      </c>
      <c r="O22" s="11"/>
    </row>
    <row r="23" customFormat="false" ht="35.05" hidden="false" customHeight="false" outlineLevel="0" collapsed="false">
      <c r="A23" s="4" t="s">
        <v>17</v>
      </c>
      <c r="B23" s="4" t="s">
        <v>51</v>
      </c>
      <c r="C23" s="5" t="n">
        <v>4</v>
      </c>
      <c r="D23" s="6" t="s">
        <v>60</v>
      </c>
      <c r="E23" s="7" t="s">
        <v>61</v>
      </c>
      <c r="F23" s="8" t="s">
        <v>53</v>
      </c>
      <c r="G23" s="8" t="s">
        <v>54</v>
      </c>
      <c r="H23" s="9"/>
      <c r="I23" s="10"/>
      <c r="J23" s="10"/>
      <c r="K23" s="10"/>
      <c r="L23" s="10"/>
      <c r="M23" s="9"/>
      <c r="N23" s="8" t="str">
        <f aca="true">IF(M23="","",TODAY()-M23)</f>
        <v/>
      </c>
      <c r="O23" s="11"/>
    </row>
    <row r="24" customFormat="false" ht="23.85" hidden="false" customHeight="false" outlineLevel="0" collapsed="false">
      <c r="A24" s="4" t="s">
        <v>17</v>
      </c>
      <c r="B24" s="4" t="s">
        <v>51</v>
      </c>
      <c r="C24" s="5" t="n">
        <v>5</v>
      </c>
      <c r="D24" s="6" t="s">
        <v>62</v>
      </c>
      <c r="E24" s="7" t="s">
        <v>63</v>
      </c>
      <c r="F24" s="8" t="s">
        <v>53</v>
      </c>
      <c r="G24" s="8" t="s">
        <v>54</v>
      </c>
      <c r="H24" s="9"/>
      <c r="I24" s="10"/>
      <c r="J24" s="10"/>
      <c r="K24" s="10"/>
      <c r="L24" s="10"/>
      <c r="M24" s="9"/>
      <c r="N24" s="8" t="str">
        <f aca="true">IF(M24="","",TODAY()-M24)</f>
        <v/>
      </c>
      <c r="O24" s="11"/>
    </row>
    <row r="25" customFormat="false" ht="15" hidden="false" customHeight="false" outlineLevel="0" collapsed="false">
      <c r="A25" s="4" t="s">
        <v>17</v>
      </c>
      <c r="B25" s="4" t="s">
        <v>51</v>
      </c>
      <c r="C25" s="5" t="n">
        <v>6</v>
      </c>
      <c r="D25" s="6" t="s">
        <v>64</v>
      </c>
      <c r="E25" s="7" t="s">
        <v>65</v>
      </c>
      <c r="F25" s="8" t="s">
        <v>53</v>
      </c>
      <c r="G25" s="8" t="s">
        <v>54</v>
      </c>
      <c r="H25" s="9"/>
      <c r="I25" s="10"/>
      <c r="J25" s="10"/>
      <c r="K25" s="10"/>
      <c r="L25" s="10"/>
      <c r="M25" s="9"/>
      <c r="N25" s="8" t="str">
        <f aca="true">IF(M25="","",TODAY()-M25)</f>
        <v/>
      </c>
      <c r="O25" s="11"/>
    </row>
    <row r="26" customFormat="false" ht="23.85" hidden="false" customHeight="false" outlineLevel="0" collapsed="false">
      <c r="A26" s="4" t="s">
        <v>17</v>
      </c>
      <c r="B26" s="4" t="s">
        <v>51</v>
      </c>
      <c r="C26" s="5" t="n">
        <v>7</v>
      </c>
      <c r="D26" s="6" t="s">
        <v>66</v>
      </c>
      <c r="E26" s="7" t="s">
        <v>67</v>
      </c>
      <c r="F26" s="8" t="s">
        <v>53</v>
      </c>
      <c r="G26" s="8" t="s">
        <v>54</v>
      </c>
      <c r="H26" s="9"/>
      <c r="I26" s="10"/>
      <c r="J26" s="10"/>
      <c r="K26" s="10"/>
      <c r="L26" s="10"/>
      <c r="M26" s="9"/>
      <c r="N26" s="8" t="str">
        <f aca="true">IF(M26="","",TODAY()-M26)</f>
        <v/>
      </c>
      <c r="O26" s="11"/>
    </row>
    <row r="27" customFormat="false" ht="23.85" hidden="false" customHeight="false" outlineLevel="0" collapsed="false">
      <c r="A27" s="4" t="s">
        <v>17</v>
      </c>
      <c r="B27" s="4" t="s">
        <v>51</v>
      </c>
      <c r="C27" s="5" t="n">
        <v>8</v>
      </c>
      <c r="D27" s="6" t="s">
        <v>68</v>
      </c>
      <c r="E27" s="7" t="s">
        <v>69</v>
      </c>
      <c r="F27" s="8" t="s">
        <v>53</v>
      </c>
      <c r="G27" s="8" t="s">
        <v>54</v>
      </c>
      <c r="H27" s="9"/>
      <c r="I27" s="10"/>
      <c r="J27" s="10"/>
      <c r="K27" s="10"/>
      <c r="L27" s="10"/>
      <c r="M27" s="9"/>
      <c r="N27" s="8" t="str">
        <f aca="true">IF(M27="","",TODAY()-M27)</f>
        <v/>
      </c>
      <c r="O27" s="11"/>
    </row>
    <row r="28" customFormat="false" ht="15" hidden="false" customHeight="false" outlineLevel="0" collapsed="false">
      <c r="A28" s="4" t="s">
        <v>17</v>
      </c>
      <c r="B28" s="4" t="s">
        <v>51</v>
      </c>
      <c r="C28" s="5" t="n">
        <v>9</v>
      </c>
      <c r="D28" s="6" t="s">
        <v>70</v>
      </c>
      <c r="E28" s="7" t="s">
        <v>71</v>
      </c>
      <c r="F28" s="8" t="s">
        <v>53</v>
      </c>
      <c r="G28" s="8" t="s">
        <v>54</v>
      </c>
      <c r="H28" s="9"/>
      <c r="I28" s="10"/>
      <c r="J28" s="10"/>
      <c r="K28" s="10"/>
      <c r="L28" s="10"/>
      <c r="M28" s="9"/>
      <c r="N28" s="8" t="str">
        <f aca="true">IF(M28="","",TODAY()-M28)</f>
        <v/>
      </c>
      <c r="O28" s="11"/>
    </row>
    <row r="29" customFormat="false" ht="23.85" hidden="false" customHeight="false" outlineLevel="0" collapsed="false">
      <c r="A29" s="4" t="s">
        <v>17</v>
      </c>
      <c r="B29" s="4" t="s">
        <v>51</v>
      </c>
      <c r="C29" s="5" t="n">
        <v>10</v>
      </c>
      <c r="D29" s="6" t="s">
        <v>72</v>
      </c>
      <c r="E29" s="7" t="s">
        <v>73</v>
      </c>
      <c r="F29" s="8" t="s">
        <v>53</v>
      </c>
      <c r="G29" s="8" t="s">
        <v>54</v>
      </c>
      <c r="H29" s="9"/>
      <c r="I29" s="10"/>
      <c r="J29" s="10"/>
      <c r="K29" s="10"/>
      <c r="L29" s="10"/>
      <c r="M29" s="9"/>
      <c r="N29" s="8" t="str">
        <f aca="true">IF(M29="","",TODAY()-M29)</f>
        <v/>
      </c>
      <c r="O29" s="11"/>
    </row>
    <row r="30" customFormat="false" ht="23.85" hidden="false" customHeight="false" outlineLevel="0" collapsed="false">
      <c r="A30" s="4" t="s">
        <v>17</v>
      </c>
      <c r="B30" s="4" t="s">
        <v>51</v>
      </c>
      <c r="C30" s="5" t="n">
        <v>11</v>
      </c>
      <c r="D30" s="6" t="s">
        <v>74</v>
      </c>
      <c r="E30" s="7" t="s">
        <v>75</v>
      </c>
      <c r="F30" s="8" t="s">
        <v>53</v>
      </c>
      <c r="G30" s="8" t="s">
        <v>76</v>
      </c>
      <c r="H30" s="9"/>
      <c r="I30" s="10"/>
      <c r="J30" s="10"/>
      <c r="K30" s="10"/>
      <c r="L30" s="10"/>
      <c r="M30" s="9"/>
      <c r="N30" s="8" t="str">
        <f aca="true">IF(M30="","",TODAY()-M30)</f>
        <v/>
      </c>
      <c r="O30" s="11"/>
    </row>
    <row r="31" customFormat="false" ht="23.85" hidden="false" customHeight="false" outlineLevel="0" collapsed="false">
      <c r="A31" s="4" t="s">
        <v>17</v>
      </c>
      <c r="B31" s="4" t="s">
        <v>51</v>
      </c>
      <c r="C31" s="5" t="n">
        <v>12</v>
      </c>
      <c r="D31" s="6" t="s">
        <v>77</v>
      </c>
      <c r="E31" s="7" t="s">
        <v>78</v>
      </c>
      <c r="F31" s="8" t="s">
        <v>53</v>
      </c>
      <c r="G31" s="8" t="s">
        <v>76</v>
      </c>
      <c r="H31" s="9"/>
      <c r="I31" s="10"/>
      <c r="J31" s="10"/>
      <c r="K31" s="10"/>
      <c r="L31" s="10"/>
      <c r="M31" s="9"/>
      <c r="N31" s="8" t="str">
        <f aca="true">IF(M31="","",TODAY()-M31)</f>
        <v/>
      </c>
      <c r="O31" s="11"/>
    </row>
    <row r="32" customFormat="false" ht="15" hidden="false" customHeight="false" outlineLevel="0" collapsed="false">
      <c r="A32" s="4" t="s">
        <v>17</v>
      </c>
      <c r="B32" s="4" t="s">
        <v>51</v>
      </c>
      <c r="C32" s="5" t="n">
        <v>13</v>
      </c>
      <c r="D32" s="6" t="s">
        <v>79</v>
      </c>
      <c r="E32" s="7" t="s">
        <v>80</v>
      </c>
      <c r="F32" s="8" t="s">
        <v>53</v>
      </c>
      <c r="G32" s="8" t="s">
        <v>81</v>
      </c>
      <c r="H32" s="9"/>
      <c r="I32" s="10"/>
      <c r="J32" s="10"/>
      <c r="K32" s="10"/>
      <c r="L32" s="10"/>
      <c r="M32" s="9"/>
      <c r="N32" s="8" t="str">
        <f aca="true">IF(M32="","",TODAY()-M32)</f>
        <v/>
      </c>
      <c r="O32" s="11"/>
    </row>
    <row r="33" customFormat="false" ht="23.85" hidden="false" customHeight="false" outlineLevel="0" collapsed="false">
      <c r="A33" s="4" t="s">
        <v>17</v>
      </c>
      <c r="B33" s="4" t="s">
        <v>51</v>
      </c>
      <c r="C33" s="5" t="n">
        <v>14</v>
      </c>
      <c r="D33" s="6" t="s">
        <v>82</v>
      </c>
      <c r="E33" s="7" t="s">
        <v>83</v>
      </c>
      <c r="F33" s="8" t="s">
        <v>53</v>
      </c>
      <c r="G33" s="8" t="s">
        <v>76</v>
      </c>
      <c r="H33" s="9"/>
      <c r="I33" s="10"/>
      <c r="J33" s="10"/>
      <c r="K33" s="10"/>
      <c r="L33" s="10"/>
      <c r="M33" s="9"/>
      <c r="N33" s="8" t="str">
        <f aca="true">IF(M33="","",TODAY()-M33)</f>
        <v/>
      </c>
      <c r="O33" s="11"/>
    </row>
    <row r="34" customFormat="false" ht="15" hidden="false" customHeight="false" outlineLevel="0" collapsed="false">
      <c r="A34" s="4" t="s">
        <v>17</v>
      </c>
      <c r="B34" s="4" t="s">
        <v>51</v>
      </c>
      <c r="C34" s="5" t="n">
        <v>15</v>
      </c>
      <c r="D34" s="6" t="s">
        <v>84</v>
      </c>
      <c r="E34" s="7" t="s">
        <v>85</v>
      </c>
      <c r="F34" s="8" t="s">
        <v>53</v>
      </c>
      <c r="G34" s="8" t="s">
        <v>54</v>
      </c>
      <c r="H34" s="9"/>
      <c r="I34" s="10"/>
      <c r="J34" s="10"/>
      <c r="K34" s="10"/>
      <c r="L34" s="10"/>
      <c r="M34" s="9"/>
      <c r="N34" s="8" t="str">
        <f aca="true">IF(M34="","",TODAY()-M34)</f>
        <v/>
      </c>
      <c r="O34" s="11"/>
    </row>
    <row r="35" customFormat="false" ht="23.85" hidden="false" customHeight="false" outlineLevel="0" collapsed="false">
      <c r="A35" s="12" t="s">
        <v>86</v>
      </c>
      <c r="B35" s="12" t="s">
        <v>87</v>
      </c>
      <c r="C35" s="13" t="n">
        <v>1</v>
      </c>
      <c r="D35" s="14" t="s">
        <v>88</v>
      </c>
      <c r="E35" s="7" t="s">
        <v>89</v>
      </c>
      <c r="F35" s="8" t="s">
        <v>21</v>
      </c>
      <c r="G35" s="8" t="s">
        <v>22</v>
      </c>
      <c r="H35" s="9"/>
      <c r="I35" s="10"/>
      <c r="J35" s="10"/>
      <c r="K35" s="10"/>
      <c r="L35" s="10"/>
      <c r="M35" s="9"/>
      <c r="N35" s="8" t="str">
        <f aca="true">IF(M35="","",TODAY()-M35)</f>
        <v/>
      </c>
      <c r="O35" s="11"/>
    </row>
    <row r="36" customFormat="false" ht="23.85" hidden="false" customHeight="false" outlineLevel="0" collapsed="false">
      <c r="A36" s="12" t="s">
        <v>86</v>
      </c>
      <c r="B36" s="12" t="s">
        <v>87</v>
      </c>
      <c r="C36" s="13" t="n">
        <v>2</v>
      </c>
      <c r="D36" s="14" t="s">
        <v>90</v>
      </c>
      <c r="E36" s="7" t="s">
        <v>91</v>
      </c>
      <c r="F36" s="8" t="s">
        <v>21</v>
      </c>
      <c r="G36" s="8" t="s">
        <v>22</v>
      </c>
      <c r="H36" s="9"/>
      <c r="I36" s="10"/>
      <c r="J36" s="10"/>
      <c r="K36" s="10"/>
      <c r="L36" s="10"/>
      <c r="M36" s="9"/>
      <c r="N36" s="8" t="str">
        <f aca="true">IF(M36="","",TODAY()-M36)</f>
        <v/>
      </c>
      <c r="O36" s="11"/>
    </row>
    <row r="37" customFormat="false" ht="23.85" hidden="false" customHeight="false" outlineLevel="0" collapsed="false">
      <c r="A37" s="12" t="s">
        <v>86</v>
      </c>
      <c r="B37" s="12" t="s">
        <v>87</v>
      </c>
      <c r="C37" s="13" t="n">
        <v>3</v>
      </c>
      <c r="D37" s="14" t="s">
        <v>92</v>
      </c>
      <c r="E37" s="7" t="s">
        <v>93</v>
      </c>
      <c r="F37" s="8" t="s">
        <v>21</v>
      </c>
      <c r="G37" s="8" t="s">
        <v>22</v>
      </c>
      <c r="H37" s="9"/>
      <c r="I37" s="10"/>
      <c r="J37" s="10"/>
      <c r="K37" s="10"/>
      <c r="L37" s="10"/>
      <c r="M37" s="9"/>
      <c r="N37" s="8" t="str">
        <f aca="true">IF(M37="","",TODAY()-M37)</f>
        <v/>
      </c>
      <c r="O37" s="11"/>
    </row>
    <row r="38" customFormat="false" ht="23.85" hidden="false" customHeight="false" outlineLevel="0" collapsed="false">
      <c r="A38" s="12" t="s">
        <v>86</v>
      </c>
      <c r="B38" s="12" t="s">
        <v>87</v>
      </c>
      <c r="C38" s="13" t="n">
        <v>4</v>
      </c>
      <c r="D38" s="14" t="s">
        <v>94</v>
      </c>
      <c r="E38" s="7" t="s">
        <v>95</v>
      </c>
      <c r="F38" s="8" t="s">
        <v>21</v>
      </c>
      <c r="G38" s="8" t="s">
        <v>22</v>
      </c>
      <c r="H38" s="9"/>
      <c r="I38" s="10"/>
      <c r="J38" s="10"/>
      <c r="K38" s="10"/>
      <c r="L38" s="10"/>
      <c r="M38" s="9"/>
      <c r="N38" s="8" t="str">
        <f aca="true">IF(M38="","",TODAY()-M38)</f>
        <v/>
      </c>
      <c r="O38" s="11"/>
    </row>
    <row r="39" customFormat="false" ht="23.85" hidden="false" customHeight="false" outlineLevel="0" collapsed="false">
      <c r="A39" s="12" t="s">
        <v>86</v>
      </c>
      <c r="B39" s="12" t="s">
        <v>87</v>
      </c>
      <c r="C39" s="13" t="n">
        <v>5</v>
      </c>
      <c r="D39" s="14" t="s">
        <v>96</v>
      </c>
      <c r="E39" s="7" t="s">
        <v>97</v>
      </c>
      <c r="F39" s="8" t="s">
        <v>21</v>
      </c>
      <c r="G39" s="8" t="s">
        <v>22</v>
      </c>
      <c r="H39" s="9"/>
      <c r="I39" s="10"/>
      <c r="J39" s="10"/>
      <c r="K39" s="10"/>
      <c r="L39" s="10"/>
      <c r="M39" s="9"/>
      <c r="N39" s="8" t="str">
        <f aca="true">IF(M39="","",TODAY()-M39)</f>
        <v/>
      </c>
      <c r="O39" s="11"/>
    </row>
    <row r="40" customFormat="false" ht="15" hidden="false" customHeight="false" outlineLevel="0" collapsed="false">
      <c r="A40" s="12" t="s">
        <v>86</v>
      </c>
      <c r="B40" s="12" t="s">
        <v>87</v>
      </c>
      <c r="C40" s="13" t="n">
        <v>6</v>
      </c>
      <c r="D40" s="14" t="s">
        <v>98</v>
      </c>
      <c r="E40" s="7" t="s">
        <v>99</v>
      </c>
      <c r="F40" s="8" t="s">
        <v>21</v>
      </c>
      <c r="G40" s="8" t="s">
        <v>54</v>
      </c>
      <c r="H40" s="9"/>
      <c r="I40" s="10"/>
      <c r="J40" s="10"/>
      <c r="K40" s="10"/>
      <c r="L40" s="10"/>
      <c r="M40" s="9"/>
      <c r="N40" s="8" t="str">
        <f aca="true">IF(M40="","",TODAY()-M40)</f>
        <v/>
      </c>
      <c r="O40" s="11"/>
    </row>
    <row r="41" customFormat="false" ht="23.85" hidden="false" customHeight="false" outlineLevel="0" collapsed="false">
      <c r="A41" s="12" t="s">
        <v>86</v>
      </c>
      <c r="B41" s="12" t="s">
        <v>100</v>
      </c>
      <c r="C41" s="13" t="n">
        <v>1</v>
      </c>
      <c r="D41" s="14" t="s">
        <v>101</v>
      </c>
      <c r="E41" s="7" t="s">
        <v>102</v>
      </c>
      <c r="F41" s="8" t="s">
        <v>53</v>
      </c>
      <c r="G41" s="8" t="s">
        <v>76</v>
      </c>
      <c r="H41" s="9"/>
      <c r="I41" s="10"/>
      <c r="J41" s="10"/>
      <c r="K41" s="10"/>
      <c r="L41" s="10"/>
      <c r="M41" s="9"/>
      <c r="N41" s="8" t="str">
        <f aca="true">IF(M41="","",TODAY()-M41)</f>
        <v/>
      </c>
      <c r="O41" s="11"/>
    </row>
    <row r="42" customFormat="false" ht="23.85" hidden="false" customHeight="false" outlineLevel="0" collapsed="false">
      <c r="A42" s="12" t="s">
        <v>86</v>
      </c>
      <c r="B42" s="12" t="s">
        <v>100</v>
      </c>
      <c r="C42" s="13" t="n">
        <v>2</v>
      </c>
      <c r="D42" s="14" t="s">
        <v>103</v>
      </c>
      <c r="E42" s="7" t="s">
        <v>104</v>
      </c>
      <c r="F42" s="8" t="s">
        <v>53</v>
      </c>
      <c r="G42" s="8" t="s">
        <v>76</v>
      </c>
      <c r="H42" s="9"/>
      <c r="I42" s="10"/>
      <c r="J42" s="10"/>
      <c r="K42" s="10"/>
      <c r="L42" s="10"/>
      <c r="M42" s="9"/>
      <c r="N42" s="8" t="str">
        <f aca="true">IF(M42="","",TODAY()-M42)</f>
        <v/>
      </c>
      <c r="O42" s="11"/>
    </row>
    <row r="43" customFormat="false" ht="23.85" hidden="false" customHeight="false" outlineLevel="0" collapsed="false">
      <c r="A43" s="12" t="s">
        <v>86</v>
      </c>
      <c r="B43" s="12" t="s">
        <v>100</v>
      </c>
      <c r="C43" s="13" t="n">
        <v>3</v>
      </c>
      <c r="D43" s="14" t="s">
        <v>105</v>
      </c>
      <c r="E43" s="7" t="s">
        <v>106</v>
      </c>
      <c r="F43" s="8" t="s">
        <v>53</v>
      </c>
      <c r="G43" s="8" t="s">
        <v>81</v>
      </c>
      <c r="H43" s="9"/>
      <c r="I43" s="10"/>
      <c r="J43" s="10"/>
      <c r="K43" s="10"/>
      <c r="L43" s="10"/>
      <c r="M43" s="9"/>
      <c r="N43" s="8" t="str">
        <f aca="true">IF(M43="","",TODAY()-M43)</f>
        <v/>
      </c>
      <c r="O43" s="11"/>
    </row>
    <row r="44" customFormat="false" ht="23.85" hidden="false" customHeight="false" outlineLevel="0" collapsed="false">
      <c r="A44" s="12" t="s">
        <v>86</v>
      </c>
      <c r="B44" s="12" t="s">
        <v>100</v>
      </c>
      <c r="C44" s="13" t="n">
        <v>4</v>
      </c>
      <c r="D44" s="14" t="s">
        <v>107</v>
      </c>
      <c r="E44" s="7" t="s">
        <v>108</v>
      </c>
      <c r="F44" s="8" t="s">
        <v>53</v>
      </c>
      <c r="G44" s="8" t="s">
        <v>81</v>
      </c>
      <c r="H44" s="9"/>
      <c r="I44" s="10"/>
      <c r="J44" s="10"/>
      <c r="K44" s="10"/>
      <c r="L44" s="10"/>
      <c r="M44" s="9"/>
      <c r="N44" s="8" t="str">
        <f aca="true">IF(M44="","",TODAY()-M44)</f>
        <v/>
      </c>
      <c r="O44" s="11"/>
    </row>
    <row r="45" customFormat="false" ht="15" hidden="false" customHeight="false" outlineLevel="0" collapsed="false">
      <c r="A45" s="12" t="s">
        <v>86</v>
      </c>
      <c r="B45" s="12" t="s">
        <v>100</v>
      </c>
      <c r="C45" s="13" t="n">
        <v>5</v>
      </c>
      <c r="D45" s="14" t="s">
        <v>109</v>
      </c>
      <c r="E45" s="7" t="s">
        <v>110</v>
      </c>
      <c r="F45" s="8" t="s">
        <v>53</v>
      </c>
      <c r="G45" s="8" t="s">
        <v>81</v>
      </c>
      <c r="H45" s="9"/>
      <c r="I45" s="10"/>
      <c r="J45" s="10"/>
      <c r="K45" s="10"/>
      <c r="L45" s="10"/>
      <c r="M45" s="9"/>
      <c r="N45" s="8" t="str">
        <f aca="true">IF(M45="","",TODAY()-M45)</f>
        <v/>
      </c>
      <c r="O45" s="11"/>
    </row>
    <row r="46" customFormat="false" ht="23.85" hidden="false" customHeight="false" outlineLevel="0" collapsed="false">
      <c r="A46" s="12" t="s">
        <v>86</v>
      </c>
      <c r="B46" s="12" t="s">
        <v>100</v>
      </c>
      <c r="C46" s="13" t="n">
        <v>6</v>
      </c>
      <c r="D46" s="14" t="s">
        <v>111</v>
      </c>
      <c r="E46" s="7" t="s">
        <v>112</v>
      </c>
      <c r="F46" s="8" t="s">
        <v>53</v>
      </c>
      <c r="G46" s="8" t="s">
        <v>81</v>
      </c>
      <c r="H46" s="9"/>
      <c r="I46" s="10"/>
      <c r="J46" s="10"/>
      <c r="K46" s="10"/>
      <c r="L46" s="10"/>
      <c r="M46" s="9"/>
      <c r="N46" s="8" t="str">
        <f aca="true">IF(M46="","",TODAY()-M46)</f>
        <v/>
      </c>
      <c r="O46" s="11"/>
    </row>
    <row r="47" customFormat="false" ht="35.05" hidden="false" customHeight="false" outlineLevel="0" collapsed="false">
      <c r="A47" s="12" t="s">
        <v>86</v>
      </c>
      <c r="B47" s="12" t="s">
        <v>100</v>
      </c>
      <c r="C47" s="13" t="n">
        <v>7</v>
      </c>
      <c r="D47" s="14" t="s">
        <v>113</v>
      </c>
      <c r="E47" s="7" t="s">
        <v>114</v>
      </c>
      <c r="F47" s="8" t="s">
        <v>53</v>
      </c>
      <c r="G47" s="8" t="s">
        <v>81</v>
      </c>
      <c r="H47" s="9"/>
      <c r="I47" s="10"/>
      <c r="J47" s="10"/>
      <c r="K47" s="10"/>
      <c r="L47" s="10"/>
      <c r="M47" s="9"/>
      <c r="N47" s="8" t="str">
        <f aca="true">IF(M47="","",TODAY()-M47)</f>
        <v/>
      </c>
      <c r="O47" s="11"/>
    </row>
    <row r="48" customFormat="false" ht="23.85" hidden="false" customHeight="false" outlineLevel="0" collapsed="false">
      <c r="A48" s="12" t="s">
        <v>86</v>
      </c>
      <c r="B48" s="12" t="s">
        <v>100</v>
      </c>
      <c r="C48" s="13" t="n">
        <v>8</v>
      </c>
      <c r="D48" s="14" t="s">
        <v>115</v>
      </c>
      <c r="E48" s="7" t="s">
        <v>116</v>
      </c>
      <c r="F48" s="8" t="s">
        <v>53</v>
      </c>
      <c r="G48" s="8" t="s">
        <v>81</v>
      </c>
      <c r="H48" s="9"/>
      <c r="I48" s="10"/>
      <c r="J48" s="10"/>
      <c r="K48" s="10"/>
      <c r="L48" s="10"/>
      <c r="M48" s="9"/>
      <c r="N48" s="8" t="str">
        <f aca="true">IF(M48="","",TODAY()-M48)</f>
        <v/>
      </c>
      <c r="O48" s="11"/>
    </row>
    <row r="49" customFormat="false" ht="23.85" hidden="false" customHeight="false" outlineLevel="0" collapsed="false">
      <c r="A49" s="12" t="s">
        <v>86</v>
      </c>
      <c r="B49" s="12" t="s">
        <v>100</v>
      </c>
      <c r="C49" s="13" t="n">
        <v>9</v>
      </c>
      <c r="D49" s="14" t="s">
        <v>117</v>
      </c>
      <c r="E49" s="7" t="s">
        <v>118</v>
      </c>
      <c r="F49" s="8" t="s">
        <v>53</v>
      </c>
      <c r="G49" s="8" t="s">
        <v>119</v>
      </c>
      <c r="H49" s="9"/>
      <c r="I49" s="10"/>
      <c r="J49" s="10"/>
      <c r="K49" s="10"/>
      <c r="L49" s="10"/>
      <c r="M49" s="9"/>
      <c r="N49" s="8" t="str">
        <f aca="true">IF(M49="","",TODAY()-M49)</f>
        <v/>
      </c>
      <c r="O49" s="11"/>
    </row>
    <row r="50" customFormat="false" ht="23.85" hidden="false" customHeight="false" outlineLevel="0" collapsed="false">
      <c r="A50" s="12" t="s">
        <v>86</v>
      </c>
      <c r="B50" s="12" t="s">
        <v>100</v>
      </c>
      <c r="C50" s="13" t="n">
        <v>10</v>
      </c>
      <c r="D50" s="14" t="s">
        <v>79</v>
      </c>
      <c r="E50" s="7" t="s">
        <v>120</v>
      </c>
      <c r="F50" s="8" t="s">
        <v>53</v>
      </c>
      <c r="G50" s="8" t="s">
        <v>81</v>
      </c>
      <c r="H50" s="9"/>
      <c r="I50" s="10"/>
      <c r="J50" s="10"/>
      <c r="K50" s="10"/>
      <c r="L50" s="10"/>
      <c r="M50" s="9"/>
      <c r="N50" s="8" t="str">
        <f aca="true">IF(M50="","",TODAY()-M50)</f>
        <v/>
      </c>
      <c r="O50" s="11"/>
    </row>
    <row r="51" customFormat="false" ht="23.85" hidden="false" customHeight="false" outlineLevel="0" collapsed="false">
      <c r="A51" s="12" t="s">
        <v>86</v>
      </c>
      <c r="B51" s="12" t="s">
        <v>100</v>
      </c>
      <c r="C51" s="13" t="n">
        <v>11</v>
      </c>
      <c r="D51" s="14" t="s">
        <v>121</v>
      </c>
      <c r="E51" s="7" t="s">
        <v>122</v>
      </c>
      <c r="F51" s="8" t="s">
        <v>53</v>
      </c>
      <c r="G51" s="8" t="s">
        <v>119</v>
      </c>
      <c r="H51" s="9"/>
      <c r="I51" s="10"/>
      <c r="J51" s="10"/>
      <c r="K51" s="10"/>
      <c r="L51" s="10"/>
      <c r="M51" s="9"/>
      <c r="N51" s="8" t="str">
        <f aca="true">IF(M51="","",TODAY()-M51)</f>
        <v/>
      </c>
      <c r="O51" s="11"/>
    </row>
    <row r="52" customFormat="false" ht="23.85" hidden="false" customHeight="false" outlineLevel="0" collapsed="false">
      <c r="A52" s="15" t="s">
        <v>123</v>
      </c>
      <c r="B52" s="15" t="s">
        <v>18</v>
      </c>
      <c r="C52" s="16" t="n">
        <v>16</v>
      </c>
      <c r="D52" s="17" t="s">
        <v>124</v>
      </c>
      <c r="E52" s="7" t="s">
        <v>125</v>
      </c>
      <c r="F52" s="8" t="s">
        <v>21</v>
      </c>
      <c r="G52" s="8" t="s">
        <v>22</v>
      </c>
      <c r="H52" s="9"/>
      <c r="I52" s="10"/>
      <c r="J52" s="10"/>
      <c r="K52" s="10"/>
      <c r="L52" s="10"/>
      <c r="M52" s="9"/>
      <c r="N52" s="8" t="str">
        <f aca="true">IF(M52="","",TODAY()-M52)</f>
        <v/>
      </c>
      <c r="O52" s="11"/>
    </row>
    <row r="53" customFormat="false" ht="23.85" hidden="false" customHeight="false" outlineLevel="0" collapsed="false">
      <c r="A53" s="15" t="s">
        <v>123</v>
      </c>
      <c r="B53" s="15" t="s">
        <v>18</v>
      </c>
      <c r="C53" s="16" t="n">
        <v>17</v>
      </c>
      <c r="D53" s="17" t="s">
        <v>126</v>
      </c>
      <c r="E53" s="7" t="s">
        <v>127</v>
      </c>
      <c r="F53" s="8" t="s">
        <v>21</v>
      </c>
      <c r="G53" s="8" t="s">
        <v>22</v>
      </c>
      <c r="H53" s="9"/>
      <c r="I53" s="10"/>
      <c r="J53" s="10"/>
      <c r="K53" s="10"/>
      <c r="L53" s="10"/>
      <c r="M53" s="9"/>
      <c r="N53" s="8" t="str">
        <f aca="true">IF(M53="","",TODAY()-M53)</f>
        <v/>
      </c>
      <c r="O53" s="11"/>
    </row>
    <row r="54" customFormat="false" ht="15" hidden="false" customHeight="false" outlineLevel="0" collapsed="false">
      <c r="A54" s="15" t="s">
        <v>123</v>
      </c>
      <c r="B54" s="15" t="s">
        <v>18</v>
      </c>
      <c r="C54" s="16" t="n">
        <v>18</v>
      </c>
      <c r="D54" s="17" t="s">
        <v>128</v>
      </c>
      <c r="E54" s="7" t="s">
        <v>129</v>
      </c>
      <c r="F54" s="8" t="s">
        <v>21</v>
      </c>
      <c r="G54" s="8" t="s">
        <v>22</v>
      </c>
      <c r="H54" s="9"/>
      <c r="I54" s="10"/>
      <c r="J54" s="10"/>
      <c r="K54" s="10"/>
      <c r="L54" s="10"/>
      <c r="M54" s="9"/>
      <c r="N54" s="8" t="str">
        <f aca="true">IF(M54="","",TODAY()-M54)</f>
        <v/>
      </c>
      <c r="O54" s="11"/>
    </row>
    <row r="55" customFormat="false" ht="23.85" hidden="false" customHeight="false" outlineLevel="0" collapsed="false">
      <c r="A55" s="15" t="s">
        <v>123</v>
      </c>
      <c r="B55" s="15" t="s">
        <v>51</v>
      </c>
      <c r="C55" s="16" t="n">
        <v>16</v>
      </c>
      <c r="D55" s="17" t="s">
        <v>130</v>
      </c>
      <c r="E55" s="7" t="s">
        <v>131</v>
      </c>
      <c r="F55" s="8" t="s">
        <v>53</v>
      </c>
      <c r="G55" s="8" t="s">
        <v>22</v>
      </c>
      <c r="H55" s="9"/>
      <c r="I55" s="10"/>
      <c r="J55" s="10"/>
      <c r="K55" s="10"/>
      <c r="L55" s="10"/>
      <c r="M55" s="9"/>
      <c r="N55" s="8" t="str">
        <f aca="true">IF(M55="","",TODAY()-M55)</f>
        <v/>
      </c>
      <c r="O55" s="11"/>
    </row>
    <row r="56" customFormat="false" ht="23.85" hidden="false" customHeight="false" outlineLevel="0" collapsed="false">
      <c r="A56" s="15" t="s">
        <v>123</v>
      </c>
      <c r="B56" s="15" t="s">
        <v>51</v>
      </c>
      <c r="C56" s="16" t="n">
        <v>17</v>
      </c>
      <c r="D56" s="17" t="s">
        <v>132</v>
      </c>
      <c r="E56" s="7" t="s">
        <v>133</v>
      </c>
      <c r="F56" s="8" t="s">
        <v>53</v>
      </c>
      <c r="G56" s="8" t="s">
        <v>54</v>
      </c>
      <c r="H56" s="9"/>
      <c r="I56" s="10"/>
      <c r="J56" s="10"/>
      <c r="K56" s="10"/>
      <c r="L56" s="10"/>
      <c r="M56" s="9"/>
      <c r="N56" s="8" t="str">
        <f aca="true">IF(M56="","",TODAY()-M56)</f>
        <v/>
      </c>
      <c r="O56" s="11"/>
    </row>
    <row r="57" customFormat="false" ht="23.85" hidden="false" customHeight="false" outlineLevel="0" collapsed="false">
      <c r="A57" s="15" t="s">
        <v>123</v>
      </c>
      <c r="B57" s="15" t="s">
        <v>51</v>
      </c>
      <c r="C57" s="16" t="n">
        <v>18</v>
      </c>
      <c r="D57" s="17" t="s">
        <v>134</v>
      </c>
      <c r="E57" s="7" t="s">
        <v>135</v>
      </c>
      <c r="F57" s="8" t="s">
        <v>53</v>
      </c>
      <c r="G57" s="8" t="s">
        <v>76</v>
      </c>
      <c r="H57" s="9"/>
      <c r="I57" s="10"/>
      <c r="J57" s="10"/>
      <c r="K57" s="10"/>
      <c r="L57" s="10"/>
      <c r="M57" s="9"/>
      <c r="N57" s="8" t="str">
        <f aca="true">IF(M57="","",TODAY()-M57)</f>
        <v/>
      </c>
      <c r="O57" s="11"/>
    </row>
    <row r="58" customFormat="false" ht="35.05" hidden="false" customHeight="false" outlineLevel="0" collapsed="false">
      <c r="A58" s="18" t="s">
        <v>136</v>
      </c>
      <c r="B58" s="18" t="s">
        <v>136</v>
      </c>
      <c r="C58" s="19" t="n">
        <v>1</v>
      </c>
      <c r="D58" s="20" t="s">
        <v>137</v>
      </c>
      <c r="E58" s="7" t="s">
        <v>138</v>
      </c>
      <c r="F58" s="8" t="s">
        <v>21</v>
      </c>
      <c r="G58" s="8" t="s">
        <v>76</v>
      </c>
      <c r="H58" s="9"/>
      <c r="I58" s="10"/>
      <c r="J58" s="10"/>
      <c r="K58" s="10"/>
      <c r="L58" s="10"/>
      <c r="M58" s="9"/>
      <c r="N58" s="8" t="str">
        <f aca="true">IF(M58="","",TODAY()-M58)</f>
        <v/>
      </c>
      <c r="O58" s="11"/>
    </row>
    <row r="59" customFormat="false" ht="23.85" hidden="false" customHeight="false" outlineLevel="0" collapsed="false">
      <c r="A59" s="18" t="s">
        <v>136</v>
      </c>
      <c r="B59" s="18" t="s">
        <v>136</v>
      </c>
      <c r="C59" s="19" t="n">
        <v>2</v>
      </c>
      <c r="D59" s="20" t="s">
        <v>139</v>
      </c>
      <c r="E59" s="7" t="s">
        <v>140</v>
      </c>
      <c r="F59" s="8" t="s">
        <v>21</v>
      </c>
      <c r="G59" s="8" t="s">
        <v>76</v>
      </c>
      <c r="H59" s="9"/>
      <c r="I59" s="10"/>
      <c r="J59" s="10"/>
      <c r="K59" s="10"/>
      <c r="L59" s="10"/>
      <c r="M59" s="9"/>
      <c r="N59" s="8" t="str">
        <f aca="true">IF(M59="","",TODAY()-M59)</f>
        <v/>
      </c>
      <c r="O59" s="11"/>
    </row>
    <row r="60" customFormat="false" ht="15" hidden="false" customHeight="false" outlineLevel="0" collapsed="false">
      <c r="A60" s="18" t="s">
        <v>136</v>
      </c>
      <c r="B60" s="18" t="s">
        <v>136</v>
      </c>
      <c r="C60" s="19" t="n">
        <v>3</v>
      </c>
      <c r="D60" s="20" t="s">
        <v>141</v>
      </c>
      <c r="E60" s="7" t="s">
        <v>142</v>
      </c>
      <c r="F60" s="8" t="s">
        <v>21</v>
      </c>
      <c r="G60" s="8" t="s">
        <v>81</v>
      </c>
      <c r="H60" s="9"/>
      <c r="I60" s="10"/>
      <c r="J60" s="10"/>
      <c r="K60" s="10"/>
      <c r="L60" s="10"/>
      <c r="M60" s="9"/>
      <c r="N60" s="8" t="str">
        <f aca="true">IF(M60="","",TODAY()-M60)</f>
        <v/>
      </c>
      <c r="O60" s="11"/>
    </row>
    <row r="61" customFormat="false" ht="23.85" hidden="false" customHeight="false" outlineLevel="0" collapsed="false">
      <c r="A61" s="18" t="s">
        <v>136</v>
      </c>
      <c r="B61" s="18" t="s">
        <v>136</v>
      </c>
      <c r="C61" s="19" t="n">
        <v>4</v>
      </c>
      <c r="D61" s="20" t="s">
        <v>143</v>
      </c>
      <c r="E61" s="7" t="s">
        <v>144</v>
      </c>
      <c r="F61" s="8" t="s">
        <v>53</v>
      </c>
      <c r="G61" s="8" t="s">
        <v>81</v>
      </c>
      <c r="H61" s="9"/>
      <c r="I61" s="10"/>
      <c r="J61" s="10"/>
      <c r="K61" s="10"/>
      <c r="L61" s="10"/>
      <c r="M61" s="9"/>
      <c r="N61" s="8" t="str">
        <f aca="true">IF(M61="","",TODAY()-M61)</f>
        <v/>
      </c>
      <c r="O61" s="11"/>
    </row>
    <row r="62" customFormat="false" ht="15" hidden="false" customHeight="false" outlineLevel="0" collapsed="false">
      <c r="A62" s="18" t="s">
        <v>136</v>
      </c>
      <c r="B62" s="18" t="s">
        <v>136</v>
      </c>
      <c r="C62" s="19" t="n">
        <v>5</v>
      </c>
      <c r="D62" s="20" t="s">
        <v>145</v>
      </c>
      <c r="E62" s="7" t="s">
        <v>146</v>
      </c>
      <c r="F62" s="8" t="s">
        <v>21</v>
      </c>
      <c r="G62" s="8" t="s">
        <v>81</v>
      </c>
      <c r="H62" s="9"/>
      <c r="I62" s="10"/>
      <c r="J62" s="10"/>
      <c r="K62" s="10"/>
      <c r="L62" s="10"/>
      <c r="M62" s="9"/>
      <c r="N62" s="8" t="str">
        <f aca="true">IF(M62="","",TODAY()-M62)</f>
        <v/>
      </c>
      <c r="O62" s="11"/>
    </row>
    <row r="63" customFormat="false" ht="15" hidden="false" customHeight="false" outlineLevel="0" collapsed="false">
      <c r="A63" s="18" t="s">
        <v>136</v>
      </c>
      <c r="B63" s="18" t="s">
        <v>136</v>
      </c>
      <c r="C63" s="19" t="n">
        <v>6</v>
      </c>
      <c r="D63" s="20" t="s">
        <v>147</v>
      </c>
      <c r="E63" s="7" t="s">
        <v>148</v>
      </c>
      <c r="F63" s="8" t="s">
        <v>21</v>
      </c>
      <c r="G63" s="8" t="s">
        <v>81</v>
      </c>
      <c r="H63" s="9"/>
      <c r="I63" s="10"/>
      <c r="J63" s="10"/>
      <c r="K63" s="10"/>
      <c r="L63" s="10"/>
      <c r="M63" s="9"/>
      <c r="N63" s="8" t="str">
        <f aca="true">IF(M63="","",TODAY()-M63)</f>
        <v/>
      </c>
      <c r="O63" s="11"/>
    </row>
    <row r="64" customFormat="false" ht="35.05" hidden="false" customHeight="false" outlineLevel="0" collapsed="false">
      <c r="A64" s="18" t="s">
        <v>136</v>
      </c>
      <c r="B64" s="18" t="s">
        <v>136</v>
      </c>
      <c r="C64" s="19" t="n">
        <v>7</v>
      </c>
      <c r="D64" s="20" t="s">
        <v>149</v>
      </c>
      <c r="E64" s="7" t="s">
        <v>150</v>
      </c>
      <c r="F64" s="8" t="s">
        <v>53</v>
      </c>
      <c r="G64" s="8" t="s">
        <v>81</v>
      </c>
      <c r="H64" s="9"/>
      <c r="I64" s="10"/>
      <c r="J64" s="10"/>
      <c r="K64" s="10"/>
      <c r="L64" s="10"/>
      <c r="M64" s="9"/>
      <c r="N64" s="8" t="str">
        <f aca="true">IF(M64="","",TODAY()-M64)</f>
        <v/>
      </c>
      <c r="O64" s="11"/>
    </row>
    <row r="65" customFormat="false" ht="23.85" hidden="false" customHeight="false" outlineLevel="0" collapsed="false">
      <c r="A65" s="18" t="s">
        <v>136</v>
      </c>
      <c r="B65" s="18" t="s">
        <v>136</v>
      </c>
      <c r="C65" s="19" t="n">
        <v>8</v>
      </c>
      <c r="D65" s="20" t="s">
        <v>151</v>
      </c>
      <c r="E65" s="7" t="s">
        <v>152</v>
      </c>
      <c r="F65" s="8" t="s">
        <v>53</v>
      </c>
      <c r="G65" s="8" t="s">
        <v>119</v>
      </c>
      <c r="H65" s="9"/>
      <c r="I65" s="10"/>
      <c r="J65" s="10"/>
      <c r="K65" s="10"/>
      <c r="L65" s="10"/>
      <c r="M65" s="9"/>
      <c r="N65" s="8" t="str">
        <f aca="true">IF(M65="","",TODAY()-M65)</f>
        <v/>
      </c>
      <c r="O65" s="11"/>
    </row>
    <row r="66" customFormat="false" ht="15" hidden="false" customHeight="false" outlineLevel="0" collapsed="false">
      <c r="A66" s="18" t="s">
        <v>136</v>
      </c>
      <c r="B66" s="18" t="s">
        <v>136</v>
      </c>
      <c r="C66" s="19" t="n">
        <v>9</v>
      </c>
      <c r="D66" s="20" t="s">
        <v>153</v>
      </c>
      <c r="E66" s="7" t="s">
        <v>154</v>
      </c>
      <c r="F66" s="8" t="s">
        <v>53</v>
      </c>
      <c r="G66" s="8" t="s">
        <v>119</v>
      </c>
      <c r="H66" s="9"/>
      <c r="I66" s="10"/>
      <c r="J66" s="10"/>
      <c r="K66" s="10"/>
      <c r="L66" s="10"/>
      <c r="M66" s="9"/>
      <c r="N66" s="8" t="str">
        <f aca="true">IF(M66="","",TODAY()-M66)</f>
        <v/>
      </c>
      <c r="O66" s="11"/>
    </row>
    <row r="67" customFormat="false" ht="23.85" hidden="false" customHeight="false" outlineLevel="0" collapsed="false">
      <c r="A67" s="21" t="s">
        <v>155</v>
      </c>
      <c r="B67" s="21" t="s">
        <v>18</v>
      </c>
      <c r="C67" s="22" t="n">
        <v>19</v>
      </c>
      <c r="D67" s="23" t="s">
        <v>156</v>
      </c>
      <c r="E67" s="7" t="s">
        <v>157</v>
      </c>
      <c r="F67" s="8" t="s">
        <v>21</v>
      </c>
      <c r="G67" s="8" t="s">
        <v>22</v>
      </c>
      <c r="H67" s="9"/>
      <c r="I67" s="10"/>
      <c r="J67" s="10"/>
      <c r="K67" s="10"/>
      <c r="L67" s="10"/>
      <c r="M67" s="9"/>
      <c r="N67" s="8" t="str">
        <f aca="true">IF(M67="","",TODAY()-M67)</f>
        <v/>
      </c>
      <c r="O67" s="11"/>
    </row>
    <row r="68" customFormat="false" ht="23.85" hidden="false" customHeight="false" outlineLevel="0" collapsed="false">
      <c r="A68" s="21" t="s">
        <v>155</v>
      </c>
      <c r="B68" s="21" t="s">
        <v>18</v>
      </c>
      <c r="C68" s="22" t="n">
        <v>20</v>
      </c>
      <c r="D68" s="23" t="s">
        <v>158</v>
      </c>
      <c r="E68" s="7" t="s">
        <v>159</v>
      </c>
      <c r="F68" s="8" t="s">
        <v>21</v>
      </c>
      <c r="G68" s="8" t="s">
        <v>22</v>
      </c>
      <c r="H68" s="9"/>
      <c r="I68" s="10"/>
      <c r="J68" s="10"/>
      <c r="K68" s="10"/>
      <c r="L68" s="10"/>
      <c r="M68" s="9"/>
      <c r="N68" s="8" t="str">
        <f aca="true">IF(M68="","",TODAY()-M68)</f>
        <v/>
      </c>
      <c r="O68" s="11"/>
    </row>
    <row r="69" customFormat="false" ht="23.85" hidden="false" customHeight="false" outlineLevel="0" collapsed="false">
      <c r="A69" s="21" t="s">
        <v>155</v>
      </c>
      <c r="B69" s="21" t="s">
        <v>18</v>
      </c>
      <c r="C69" s="22" t="n">
        <v>21</v>
      </c>
      <c r="D69" s="23" t="s">
        <v>160</v>
      </c>
      <c r="E69" s="7" t="s">
        <v>161</v>
      </c>
      <c r="F69" s="8" t="s">
        <v>21</v>
      </c>
      <c r="G69" s="8" t="s">
        <v>22</v>
      </c>
      <c r="H69" s="9"/>
      <c r="I69" s="10"/>
      <c r="J69" s="10"/>
      <c r="K69" s="10"/>
      <c r="L69" s="10"/>
      <c r="M69" s="9"/>
      <c r="N69" s="8" t="str">
        <f aca="true">IF(M69="","",TODAY()-M69)</f>
        <v/>
      </c>
      <c r="O69" s="11"/>
    </row>
    <row r="70" customFormat="false" ht="23.85" hidden="false" customHeight="false" outlineLevel="0" collapsed="false">
      <c r="A70" s="21" t="s">
        <v>155</v>
      </c>
      <c r="B70" s="21" t="s">
        <v>18</v>
      </c>
      <c r="C70" s="22" t="n">
        <v>22</v>
      </c>
      <c r="D70" s="23" t="s">
        <v>162</v>
      </c>
      <c r="E70" s="7" t="s">
        <v>163</v>
      </c>
      <c r="F70" s="8" t="s">
        <v>21</v>
      </c>
      <c r="G70" s="8" t="s">
        <v>22</v>
      </c>
      <c r="H70" s="9"/>
      <c r="I70" s="10"/>
      <c r="J70" s="10"/>
      <c r="K70" s="10"/>
      <c r="L70" s="10"/>
      <c r="M70" s="9"/>
      <c r="N70" s="8" t="str">
        <f aca="true">IF(M70="","",TODAY()-M70)</f>
        <v/>
      </c>
      <c r="O70" s="11"/>
    </row>
    <row r="71" customFormat="false" ht="23.85" hidden="false" customHeight="false" outlineLevel="0" collapsed="false">
      <c r="A71" s="21" t="s">
        <v>155</v>
      </c>
      <c r="B71" s="21" t="s">
        <v>51</v>
      </c>
      <c r="C71" s="22" t="n">
        <v>19</v>
      </c>
      <c r="D71" s="23" t="s">
        <v>164</v>
      </c>
      <c r="E71" s="7" t="s">
        <v>165</v>
      </c>
      <c r="F71" s="8" t="s">
        <v>53</v>
      </c>
      <c r="G71" s="8" t="s">
        <v>54</v>
      </c>
      <c r="H71" s="9"/>
      <c r="I71" s="10"/>
      <c r="J71" s="10"/>
      <c r="K71" s="10"/>
      <c r="L71" s="10"/>
      <c r="M71" s="9"/>
      <c r="N71" s="8" t="str">
        <f aca="true">IF(M71="","",TODAY()-M71)</f>
        <v/>
      </c>
      <c r="O71" s="11"/>
    </row>
    <row r="72" customFormat="false" ht="15" hidden="false" customHeight="false" outlineLevel="0" collapsed="false">
      <c r="A72" s="21" t="s">
        <v>155</v>
      </c>
      <c r="B72" s="21" t="s">
        <v>51</v>
      </c>
      <c r="C72" s="22" t="n">
        <v>20</v>
      </c>
      <c r="D72" s="23" t="s">
        <v>166</v>
      </c>
      <c r="E72" s="7" t="s">
        <v>167</v>
      </c>
      <c r="F72" s="8" t="s">
        <v>53</v>
      </c>
      <c r="G72" s="8" t="s">
        <v>54</v>
      </c>
      <c r="H72" s="9"/>
      <c r="I72" s="10"/>
      <c r="J72" s="10"/>
      <c r="K72" s="10"/>
      <c r="L72" s="10"/>
      <c r="M72" s="9"/>
      <c r="N72" s="8" t="str">
        <f aca="true">IF(M72="","",TODAY()-M72)</f>
        <v/>
      </c>
      <c r="O72" s="11"/>
    </row>
    <row r="73" customFormat="false" ht="23.85" hidden="false" customHeight="false" outlineLevel="0" collapsed="false">
      <c r="A73" s="21" t="s">
        <v>155</v>
      </c>
      <c r="B73" s="21" t="s">
        <v>51</v>
      </c>
      <c r="C73" s="22" t="n">
        <v>21</v>
      </c>
      <c r="D73" s="23" t="s">
        <v>168</v>
      </c>
      <c r="E73" s="7" t="s">
        <v>169</v>
      </c>
      <c r="F73" s="8" t="s">
        <v>53</v>
      </c>
      <c r="G73" s="8" t="s">
        <v>57</v>
      </c>
      <c r="H73" s="9"/>
      <c r="I73" s="10"/>
      <c r="J73" s="10"/>
      <c r="K73" s="10"/>
      <c r="L73" s="10"/>
      <c r="M73" s="9"/>
      <c r="N73" s="8" t="str">
        <f aca="true">IF(M73="","",TODAY()-M73)</f>
        <v/>
      </c>
      <c r="O73" s="11"/>
    </row>
    <row r="74" customFormat="false" ht="23.85" hidden="false" customHeight="false" outlineLevel="0" collapsed="false">
      <c r="A74" s="21" t="s">
        <v>155</v>
      </c>
      <c r="B74" s="21" t="s">
        <v>51</v>
      </c>
      <c r="C74" s="22" t="n">
        <v>22</v>
      </c>
      <c r="D74" s="23" t="s">
        <v>170</v>
      </c>
      <c r="E74" s="7" t="s">
        <v>171</v>
      </c>
      <c r="F74" s="8" t="s">
        <v>53</v>
      </c>
      <c r="G74" s="8" t="s">
        <v>54</v>
      </c>
      <c r="H74" s="9"/>
      <c r="I74" s="10"/>
      <c r="J74" s="10"/>
      <c r="K74" s="10"/>
      <c r="L74" s="10"/>
      <c r="M74" s="9"/>
      <c r="N74" s="8" t="str">
        <f aca="true">IF(M74="","",TODAY()-M74)</f>
        <v/>
      </c>
      <c r="O74" s="11"/>
    </row>
    <row r="75" customFormat="false" ht="23.85" hidden="false" customHeight="false" outlineLevel="0" collapsed="false">
      <c r="A75" s="24" t="s">
        <v>172</v>
      </c>
      <c r="B75" s="24" t="s">
        <v>172</v>
      </c>
      <c r="C75" s="25" t="n">
        <v>1</v>
      </c>
      <c r="D75" s="26" t="s">
        <v>173</v>
      </c>
      <c r="E75" s="7" t="s">
        <v>174</v>
      </c>
      <c r="F75" s="8" t="s">
        <v>21</v>
      </c>
      <c r="G75" s="8" t="s">
        <v>76</v>
      </c>
      <c r="H75" s="9"/>
      <c r="I75" s="10"/>
      <c r="J75" s="10"/>
      <c r="K75" s="10"/>
      <c r="L75" s="10"/>
      <c r="M75" s="9"/>
      <c r="N75" s="8" t="str">
        <f aca="true">IF(M75="","",TODAY()-M75)</f>
        <v/>
      </c>
      <c r="O75" s="11"/>
    </row>
    <row r="76" customFormat="false" ht="23.85" hidden="false" customHeight="false" outlineLevel="0" collapsed="false">
      <c r="A76" s="24" t="s">
        <v>172</v>
      </c>
      <c r="B76" s="24" t="s">
        <v>172</v>
      </c>
      <c r="C76" s="25" t="n">
        <v>2</v>
      </c>
      <c r="D76" s="26" t="s">
        <v>175</v>
      </c>
      <c r="E76" s="7" t="s">
        <v>176</v>
      </c>
      <c r="F76" s="8" t="s">
        <v>21</v>
      </c>
      <c r="G76" s="8" t="s">
        <v>76</v>
      </c>
      <c r="H76" s="9"/>
      <c r="I76" s="10"/>
      <c r="J76" s="10"/>
      <c r="K76" s="10"/>
      <c r="L76" s="10"/>
      <c r="M76" s="9"/>
      <c r="N76" s="8" t="str">
        <f aca="true">IF(M76="","",TODAY()-M76)</f>
        <v/>
      </c>
      <c r="O76" s="11"/>
    </row>
    <row r="77" customFormat="false" ht="23.85" hidden="false" customHeight="false" outlineLevel="0" collapsed="false">
      <c r="A77" s="24" t="s">
        <v>172</v>
      </c>
      <c r="B77" s="24" t="s">
        <v>172</v>
      </c>
      <c r="C77" s="25" t="n">
        <v>3</v>
      </c>
      <c r="D77" s="26" t="s">
        <v>177</v>
      </c>
      <c r="E77" s="7" t="s">
        <v>178</v>
      </c>
      <c r="F77" s="8" t="s">
        <v>21</v>
      </c>
      <c r="G77" s="8" t="s">
        <v>76</v>
      </c>
      <c r="H77" s="9"/>
      <c r="I77" s="10"/>
      <c r="J77" s="10"/>
      <c r="K77" s="10"/>
      <c r="L77" s="10"/>
      <c r="M77" s="9"/>
      <c r="N77" s="8" t="str">
        <f aca="true">IF(M77="","",TODAY()-M77)</f>
        <v/>
      </c>
      <c r="O77" s="11"/>
    </row>
    <row r="78" customFormat="false" ht="23.85" hidden="false" customHeight="false" outlineLevel="0" collapsed="false">
      <c r="A78" s="24" t="s">
        <v>172</v>
      </c>
      <c r="B78" s="24" t="s">
        <v>172</v>
      </c>
      <c r="C78" s="25" t="n">
        <v>4</v>
      </c>
      <c r="D78" s="26" t="s">
        <v>179</v>
      </c>
      <c r="E78" s="7" t="s">
        <v>180</v>
      </c>
      <c r="F78" s="8" t="s">
        <v>21</v>
      </c>
      <c r="G78" s="8" t="s">
        <v>81</v>
      </c>
      <c r="H78" s="9"/>
      <c r="I78" s="10"/>
      <c r="J78" s="10"/>
      <c r="K78" s="10"/>
      <c r="L78" s="10"/>
      <c r="M78" s="9"/>
      <c r="N78" s="8" t="str">
        <f aca="true">IF(M78="","",TODAY()-M78)</f>
        <v/>
      </c>
      <c r="O78" s="11"/>
    </row>
    <row r="79" customFormat="false" ht="15" hidden="false" customHeight="false" outlineLevel="0" collapsed="false">
      <c r="A79" s="24" t="s">
        <v>172</v>
      </c>
      <c r="B79" s="24" t="s">
        <v>172</v>
      </c>
      <c r="C79" s="25" t="n">
        <v>5</v>
      </c>
      <c r="D79" s="26" t="s">
        <v>181</v>
      </c>
      <c r="E79" s="7" t="s">
        <v>182</v>
      </c>
      <c r="F79" s="8" t="s">
        <v>53</v>
      </c>
      <c r="G79" s="8" t="s">
        <v>81</v>
      </c>
      <c r="H79" s="9"/>
      <c r="I79" s="10"/>
      <c r="J79" s="10"/>
      <c r="K79" s="10"/>
      <c r="L79" s="10"/>
      <c r="M79" s="9"/>
      <c r="N79" s="8" t="str">
        <f aca="true">IF(M79="","",TODAY()-M79)</f>
        <v/>
      </c>
      <c r="O79" s="11"/>
    </row>
    <row r="80" customFormat="false" ht="23.85" hidden="false" customHeight="false" outlineLevel="0" collapsed="false">
      <c r="A80" s="24" t="s">
        <v>172</v>
      </c>
      <c r="B80" s="24" t="s">
        <v>172</v>
      </c>
      <c r="C80" s="25" t="n">
        <v>6</v>
      </c>
      <c r="D80" s="26" t="s">
        <v>183</v>
      </c>
      <c r="E80" s="7" t="s">
        <v>184</v>
      </c>
      <c r="F80" s="8" t="s">
        <v>53</v>
      </c>
      <c r="G80" s="8" t="s">
        <v>81</v>
      </c>
      <c r="H80" s="9"/>
      <c r="I80" s="10"/>
      <c r="J80" s="10"/>
      <c r="K80" s="10"/>
      <c r="L80" s="10"/>
      <c r="M80" s="9"/>
      <c r="N80" s="8" t="str">
        <f aca="true">IF(M80="","",TODAY()-M80)</f>
        <v/>
      </c>
      <c r="O80" s="11"/>
    </row>
    <row r="81" customFormat="false" ht="15" hidden="false" customHeight="false" outlineLevel="0" collapsed="false">
      <c r="A81" s="24" t="s">
        <v>172</v>
      </c>
      <c r="B81" s="24" t="s">
        <v>172</v>
      </c>
      <c r="C81" s="25" t="n">
        <v>7</v>
      </c>
      <c r="D81" s="26" t="s">
        <v>185</v>
      </c>
      <c r="E81" s="7" t="s">
        <v>186</v>
      </c>
      <c r="F81" s="8" t="s">
        <v>53</v>
      </c>
      <c r="G81" s="8" t="s">
        <v>81</v>
      </c>
      <c r="H81" s="9"/>
      <c r="I81" s="10"/>
      <c r="J81" s="10"/>
      <c r="K81" s="10"/>
      <c r="L81" s="10"/>
      <c r="M81" s="9"/>
      <c r="N81" s="8" t="str">
        <f aca="true">IF(M81="","",TODAY()-M81)</f>
        <v/>
      </c>
      <c r="O81" s="11"/>
    </row>
    <row r="82" customFormat="false" ht="35.05" hidden="false" customHeight="false" outlineLevel="0" collapsed="false">
      <c r="A82" s="24" t="s">
        <v>172</v>
      </c>
      <c r="B82" s="24" t="s">
        <v>172</v>
      </c>
      <c r="C82" s="25" t="n">
        <v>8</v>
      </c>
      <c r="D82" s="26" t="s">
        <v>187</v>
      </c>
      <c r="E82" s="7" t="s">
        <v>188</v>
      </c>
      <c r="F82" s="8" t="s">
        <v>53</v>
      </c>
      <c r="G82" s="8" t="s">
        <v>81</v>
      </c>
      <c r="H82" s="9"/>
      <c r="I82" s="10"/>
      <c r="J82" s="10"/>
      <c r="K82" s="10"/>
      <c r="L82" s="10"/>
      <c r="M82" s="9"/>
      <c r="N82" s="8" t="str">
        <f aca="true">IF(M82="","",TODAY()-M82)</f>
        <v/>
      </c>
      <c r="O82" s="11"/>
    </row>
    <row r="83" customFormat="false" ht="23.85" hidden="false" customHeight="false" outlineLevel="0" collapsed="false">
      <c r="A83" s="24" t="s">
        <v>172</v>
      </c>
      <c r="B83" s="24" t="s">
        <v>172</v>
      </c>
      <c r="C83" s="25" t="n">
        <v>9</v>
      </c>
      <c r="D83" s="26" t="s">
        <v>189</v>
      </c>
      <c r="E83" s="7" t="s">
        <v>190</v>
      </c>
      <c r="F83" s="8" t="s">
        <v>191</v>
      </c>
      <c r="G83" s="8" t="s">
        <v>192</v>
      </c>
      <c r="H83" s="9"/>
      <c r="I83" s="10"/>
      <c r="J83" s="10"/>
      <c r="K83" s="10"/>
      <c r="L83" s="10"/>
      <c r="M83" s="9"/>
      <c r="N83" s="8" t="str">
        <f aca="true">IF(M83="","",TODAY()-M83)</f>
        <v/>
      </c>
      <c r="O83" s="11"/>
    </row>
    <row r="84" customFormat="false" ht="15" hidden="false" customHeight="false" outlineLevel="0" collapsed="false">
      <c r="A84" s="24" t="s">
        <v>172</v>
      </c>
      <c r="B84" s="24" t="s">
        <v>172</v>
      </c>
      <c r="C84" s="25" t="n">
        <v>10</v>
      </c>
      <c r="D84" s="26" t="s">
        <v>193</v>
      </c>
      <c r="E84" s="7" t="s">
        <v>194</v>
      </c>
      <c r="F84" s="8" t="s">
        <v>53</v>
      </c>
      <c r="G84" s="8" t="s">
        <v>119</v>
      </c>
      <c r="H84" s="9"/>
      <c r="I84" s="10"/>
      <c r="J84" s="10"/>
      <c r="K84" s="10"/>
      <c r="L84" s="10"/>
      <c r="M84" s="9"/>
      <c r="N84" s="8" t="str">
        <f aca="true">IF(M84="","",TODAY()-M84)</f>
        <v/>
      </c>
      <c r="O84" s="11"/>
    </row>
  </sheetData>
  <autoFilter ref="A4:O84"/>
  <mergeCells count="1">
    <mergeCell ref="A2:O2"/>
  </mergeCells>
  <conditionalFormatting sqref="I5:K84">
    <cfRule type="cellIs" priority="2" operator="equal" aboveAverage="0" equalAverage="0" bottom="0" percent="0" rank="0" text="" dxfId="10">
      <formula>"Done"</formula>
    </cfRule>
    <cfRule type="cellIs" priority="3" operator="equal" aboveAverage="0" equalAverage="0" bottom="0" percent="0" rank="0" text="" dxfId="11">
      <formula>"In progress"</formula>
    </cfRule>
  </conditionalFormatting>
  <conditionalFormatting sqref="L5:L84">
    <cfRule type="cellIs" priority="4" operator="between" aboveAverage="0" equalAverage="0" bottom="0" percent="0" rank="0" text="" dxfId="12">
      <formula>1</formula>
      <formula>2</formula>
    </cfRule>
    <cfRule type="cellIs" priority="5" operator="equal" aboveAverage="0" equalAverage="0" bottom="0" percent="0" rank="0" text="" dxfId="11">
      <formula>3</formula>
    </cfRule>
    <cfRule type="cellIs" priority="6" operator="between" aboveAverage="0" equalAverage="0" bottom="0" percent="0" rank="0" text="" dxfId="10">
      <formula>4</formula>
      <formula>5</formula>
    </cfRule>
  </conditionalFormatting>
  <conditionalFormatting sqref="N5:N84">
    <cfRule type="expression" priority="7" aboveAverage="0" equalAverage="0" bottom="0" percent="0" rank="0" text="" dxfId="12">
      <formula>AND(N5&lt;&gt;"",N5&gt;42)</formula>
    </cfRule>
    <cfRule type="expression" priority="8" aboveAverage="0" equalAverage="0" bottom="0" percent="0" rank="0" text="" dxfId="13">
      <formula>AND(N5&lt;&gt;"",N5&gt;21)</formula>
    </cfRule>
  </conditionalFormatting>
  <dataValidations count="2">
    <dataValidation allowBlank="true" errorStyle="stop" operator="between" showDropDown="false" showErrorMessage="false" showInputMessage="false" sqref="I5:K84" type="list">
      <formula1>"—,In progress,Done"</formula1>
      <formula2>0</formula2>
    </dataValidation>
    <dataValidation allowBlank="true" errorStyle="stop" operator="between" showDropDown="false" showErrorMessage="false" showInputMessage="false" sqref="L5:L8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5"/>
  </cols>
  <sheetData>
    <row r="1" customFormat="false" ht="17.35" hidden="false" customHeight="false" outlineLevel="0" collapsed="false">
      <c r="A1" s="1" t="s">
        <v>195</v>
      </c>
    </row>
    <row r="3" customFormat="false" ht="26.85" hidden="false" customHeight="false" outlineLevel="0" collapsed="false">
      <c r="A3" s="27" t="s">
        <v>2</v>
      </c>
      <c r="B3" s="27" t="s">
        <v>196</v>
      </c>
      <c r="C3" s="27" t="s">
        <v>197</v>
      </c>
      <c r="D3" s="27" t="s">
        <v>198</v>
      </c>
      <c r="E3" s="27" t="s">
        <v>199</v>
      </c>
      <c r="F3" s="27" t="s">
        <v>200</v>
      </c>
      <c r="G3" s="27" t="s">
        <v>201</v>
      </c>
    </row>
    <row r="4" customFormat="false" ht="15" hidden="false" customHeight="false" outlineLevel="0" collapsed="false">
      <c r="A4" s="28" t="s">
        <v>17</v>
      </c>
      <c r="B4" s="29" t="n">
        <f aca="false">COUNTIF(Tracker!$A$5:$A$84,A4)</f>
        <v>30</v>
      </c>
      <c r="C4" s="29" t="n">
        <f aca="false">COUNTIFS(Tracker!$A$5:$A$84,A4,Tracker!$I$5:$I$84,"Done")</f>
        <v>0</v>
      </c>
      <c r="D4" s="29" t="n">
        <f aca="false">COUNTIFS(Tracker!$A$5:$A$84,A4,Tracker!$J$5:$J$84,"Done")</f>
        <v>0</v>
      </c>
      <c r="E4" s="29" t="n">
        <f aca="false">COUNTIFS(Tracker!$A$5:$A$84,A4,Tracker!$K$5:$K$84,"Done")</f>
        <v>0</v>
      </c>
      <c r="F4" s="30" t="str">
        <f aca="false">IFERROR(AVERAGEIFS(Tracker!$L$5:$L$84,Tracker!$A$5:$A$84,A4),"")</f>
        <v/>
      </c>
      <c r="G4" s="29" t="n">
        <f aca="false">COUNTIFS(Tracker!$A$5:$A$84,A4,Tracker!$L$5:$L$84,"&lt;=2")</f>
        <v>0</v>
      </c>
    </row>
    <row r="5" customFormat="false" ht="15" hidden="false" customHeight="false" outlineLevel="0" collapsed="false">
      <c r="A5" s="28" t="s">
        <v>86</v>
      </c>
      <c r="B5" s="29" t="n">
        <f aca="false">COUNTIF(Tracker!$A$5:$A$84,A5)</f>
        <v>17</v>
      </c>
      <c r="C5" s="29" t="n">
        <f aca="false">COUNTIFS(Tracker!$A$5:$A$84,A5,Tracker!$I$5:$I$84,"Done")</f>
        <v>0</v>
      </c>
      <c r="D5" s="29" t="n">
        <f aca="false">COUNTIFS(Tracker!$A$5:$A$84,A5,Tracker!$J$5:$J$84,"Done")</f>
        <v>0</v>
      </c>
      <c r="E5" s="29" t="n">
        <f aca="false">COUNTIFS(Tracker!$A$5:$A$84,A5,Tracker!$K$5:$K$84,"Done")</f>
        <v>0</v>
      </c>
      <c r="F5" s="30" t="str">
        <f aca="false">IFERROR(AVERAGEIFS(Tracker!$L$5:$L$84,Tracker!$A$5:$A$84,A5),"")</f>
        <v/>
      </c>
      <c r="G5" s="29" t="n">
        <f aca="false">COUNTIFS(Tracker!$A$5:$A$84,A5,Tracker!$L$5:$L$84,"&lt;=2")</f>
        <v>0</v>
      </c>
    </row>
    <row r="6" customFormat="false" ht="15" hidden="false" customHeight="false" outlineLevel="0" collapsed="false">
      <c r="A6" s="28" t="s">
        <v>123</v>
      </c>
      <c r="B6" s="29" t="n">
        <f aca="false">COUNTIF(Tracker!$A$5:$A$84,A6)</f>
        <v>6</v>
      </c>
      <c r="C6" s="29" t="n">
        <f aca="false">COUNTIFS(Tracker!$A$5:$A$84,A6,Tracker!$I$5:$I$84,"Done")</f>
        <v>0</v>
      </c>
      <c r="D6" s="29" t="n">
        <f aca="false">COUNTIFS(Tracker!$A$5:$A$84,A6,Tracker!$J$5:$J$84,"Done")</f>
        <v>0</v>
      </c>
      <c r="E6" s="29" t="n">
        <f aca="false">COUNTIFS(Tracker!$A$5:$A$84,A6,Tracker!$K$5:$K$84,"Done")</f>
        <v>0</v>
      </c>
      <c r="F6" s="30" t="str">
        <f aca="false">IFERROR(AVERAGEIFS(Tracker!$L$5:$L$84,Tracker!$A$5:$A$84,A6),"")</f>
        <v/>
      </c>
      <c r="G6" s="29" t="n">
        <f aca="false">COUNTIFS(Tracker!$A$5:$A$84,A6,Tracker!$L$5:$L$84,"&lt;=2")</f>
        <v>0</v>
      </c>
    </row>
    <row r="7" customFormat="false" ht="15" hidden="false" customHeight="false" outlineLevel="0" collapsed="false">
      <c r="A7" s="28" t="s">
        <v>136</v>
      </c>
      <c r="B7" s="29" t="n">
        <f aca="false">COUNTIF(Tracker!$A$5:$A$84,A7)</f>
        <v>9</v>
      </c>
      <c r="C7" s="29" t="n">
        <f aca="false">COUNTIFS(Tracker!$A$5:$A$84,A7,Tracker!$I$5:$I$84,"Done")</f>
        <v>0</v>
      </c>
      <c r="D7" s="29" t="n">
        <f aca="false">COUNTIFS(Tracker!$A$5:$A$84,A7,Tracker!$J$5:$J$84,"Done")</f>
        <v>0</v>
      </c>
      <c r="E7" s="29" t="n">
        <f aca="false">COUNTIFS(Tracker!$A$5:$A$84,A7,Tracker!$K$5:$K$84,"Done")</f>
        <v>0</v>
      </c>
      <c r="F7" s="30" t="str">
        <f aca="false">IFERROR(AVERAGEIFS(Tracker!$L$5:$L$84,Tracker!$A$5:$A$84,A7),"")</f>
        <v/>
      </c>
      <c r="G7" s="29" t="n">
        <f aca="false">COUNTIFS(Tracker!$A$5:$A$84,A7,Tracker!$L$5:$L$84,"&lt;=2")</f>
        <v>0</v>
      </c>
    </row>
    <row r="8" customFormat="false" ht="15" hidden="false" customHeight="false" outlineLevel="0" collapsed="false">
      <c r="A8" s="28" t="s">
        <v>155</v>
      </c>
      <c r="B8" s="29" t="n">
        <f aca="false">COUNTIF(Tracker!$A$5:$A$84,A8)</f>
        <v>8</v>
      </c>
      <c r="C8" s="29" t="n">
        <f aca="false">COUNTIFS(Tracker!$A$5:$A$84,A8,Tracker!$I$5:$I$84,"Done")</f>
        <v>0</v>
      </c>
      <c r="D8" s="29" t="n">
        <f aca="false">COUNTIFS(Tracker!$A$5:$A$84,A8,Tracker!$J$5:$J$84,"Done")</f>
        <v>0</v>
      </c>
      <c r="E8" s="29" t="n">
        <f aca="false">COUNTIFS(Tracker!$A$5:$A$84,A8,Tracker!$K$5:$K$84,"Done")</f>
        <v>0</v>
      </c>
      <c r="F8" s="30" t="str">
        <f aca="false">IFERROR(AVERAGEIFS(Tracker!$L$5:$L$84,Tracker!$A$5:$A$84,A8),"")</f>
        <v/>
      </c>
      <c r="G8" s="29" t="n">
        <f aca="false">COUNTIFS(Tracker!$A$5:$A$84,A8,Tracker!$L$5:$L$84,"&lt;=2")</f>
        <v>0</v>
      </c>
    </row>
    <row r="9" customFormat="false" ht="15" hidden="false" customHeight="false" outlineLevel="0" collapsed="false">
      <c r="A9" s="28" t="s">
        <v>172</v>
      </c>
      <c r="B9" s="29" t="n">
        <f aca="false">COUNTIF(Tracker!$A$5:$A$84,A9)</f>
        <v>10</v>
      </c>
      <c r="C9" s="29" t="n">
        <f aca="false">COUNTIFS(Tracker!$A$5:$A$84,A9,Tracker!$I$5:$I$84,"Done")</f>
        <v>0</v>
      </c>
      <c r="D9" s="29" t="n">
        <f aca="false">COUNTIFS(Tracker!$A$5:$A$84,A9,Tracker!$J$5:$J$84,"Done")</f>
        <v>0</v>
      </c>
      <c r="E9" s="29" t="n">
        <f aca="false">COUNTIFS(Tracker!$A$5:$A$84,A9,Tracker!$K$5:$K$84,"Done")</f>
        <v>0</v>
      </c>
      <c r="F9" s="30" t="str">
        <f aca="false">IFERROR(AVERAGEIFS(Tracker!$L$5:$L$84,Tracker!$A$5:$A$84,A9),"")</f>
        <v/>
      </c>
      <c r="G9" s="29" t="n">
        <f aca="false">COUNTIFS(Tracker!$A$5:$A$84,A9,Tracker!$L$5:$L$84,"&lt;=2")</f>
        <v>0</v>
      </c>
    </row>
    <row r="10" customFormat="false" ht="15" hidden="false" customHeight="false" outlineLevel="0" collapsed="false">
      <c r="A10" s="31" t="s">
        <v>202</v>
      </c>
      <c r="B10" s="32" t="n">
        <f aca="false">SUM(B4:B9)</f>
        <v>80</v>
      </c>
      <c r="C10" s="32" t="n">
        <f aca="false">SUM(C4:C9)</f>
        <v>0</v>
      </c>
      <c r="D10" s="32" t="n">
        <f aca="false">SUM(D4:D9)</f>
        <v>0</v>
      </c>
      <c r="E10" s="32" t="n">
        <f aca="false">SUM(E4:E9)</f>
        <v>0</v>
      </c>
    </row>
    <row r="12" customFormat="false" ht="26.85" hidden="false" customHeight="false" outlineLevel="0" collapsed="false">
      <c r="A12" s="27" t="s">
        <v>8</v>
      </c>
      <c r="B12" s="27" t="s">
        <v>196</v>
      </c>
      <c r="C12" s="27" t="s">
        <v>197</v>
      </c>
      <c r="D12" s="27" t="s">
        <v>198</v>
      </c>
      <c r="E12" s="27" t="s">
        <v>199</v>
      </c>
      <c r="F12" s="27" t="s">
        <v>200</v>
      </c>
      <c r="G12" s="27" t="s">
        <v>201</v>
      </c>
    </row>
    <row r="13" customFormat="false" ht="15" hidden="false" customHeight="false" outlineLevel="0" collapsed="false">
      <c r="A13" s="28" t="s">
        <v>22</v>
      </c>
      <c r="B13" s="29" t="n">
        <f aca="false">COUNTIF(Tracker!$G$5:$G$84,"*"&amp;A13&amp;"*")</f>
        <v>30</v>
      </c>
      <c r="C13" s="29" t="n">
        <f aca="false">COUNTIFS(Tracker!$G$5:$G$84,"*"&amp;A13&amp;"*",Tracker!$I$5:$I$84,"Done")</f>
        <v>0</v>
      </c>
      <c r="D13" s="29" t="n">
        <f aca="false">COUNTIFS(Tracker!$G$5:$G$84,"*"&amp;A13&amp;"*",Tracker!$J$5:$J$84,"Done")</f>
        <v>0</v>
      </c>
      <c r="E13" s="29" t="n">
        <f aca="false">COUNTIFS(Tracker!$G$5:$G$84,"*"&amp;A13&amp;"*",Tracker!$K$5:$K$84,"Done")</f>
        <v>0</v>
      </c>
      <c r="F13" s="30" t="str">
        <f aca="false">IFERROR(AVERAGEIFS(Tracker!$L$5:$L$84,Tracker!$G$5:$G$84,"*"&amp;A13&amp;"*"),"")</f>
        <v/>
      </c>
      <c r="G13" s="29" t="n">
        <f aca="false">COUNTIFS(Tracker!$G$5:$G$84,"*"&amp;A13&amp;"*",Tracker!$L$5:$L$84,"&lt;=2")</f>
        <v>0</v>
      </c>
    </row>
    <row r="14" customFormat="false" ht="15" hidden="false" customHeight="false" outlineLevel="0" collapsed="false">
      <c r="A14" s="28" t="s">
        <v>54</v>
      </c>
      <c r="B14" s="29" t="n">
        <f aca="false">COUNTIF(Tracker!$G$5:$G$84,"*"&amp;A14&amp;"*")</f>
        <v>17</v>
      </c>
      <c r="C14" s="29" t="n">
        <f aca="false">COUNTIFS(Tracker!$G$5:$G$84,"*"&amp;A14&amp;"*",Tracker!$I$5:$I$84,"Done")</f>
        <v>0</v>
      </c>
      <c r="D14" s="29" t="n">
        <f aca="false">COUNTIFS(Tracker!$G$5:$G$84,"*"&amp;A14&amp;"*",Tracker!$J$5:$J$84,"Done")</f>
        <v>0</v>
      </c>
      <c r="E14" s="29" t="n">
        <f aca="false">COUNTIFS(Tracker!$G$5:$G$84,"*"&amp;A14&amp;"*",Tracker!$K$5:$K$84,"Done")</f>
        <v>0</v>
      </c>
      <c r="F14" s="30" t="str">
        <f aca="false">IFERROR(AVERAGEIFS(Tracker!$L$5:$L$84,Tracker!$G$5:$G$84,"*"&amp;A14&amp;"*"),"")</f>
        <v/>
      </c>
      <c r="G14" s="29" t="n">
        <f aca="false">COUNTIFS(Tracker!$G$5:$G$84,"*"&amp;A14&amp;"*",Tracker!$L$5:$L$84,"&lt;=2")</f>
        <v>0</v>
      </c>
    </row>
    <row r="15" customFormat="false" ht="15" hidden="false" customHeight="false" outlineLevel="0" collapsed="false">
      <c r="A15" s="28" t="s">
        <v>76</v>
      </c>
      <c r="B15" s="29" t="n">
        <f aca="false">COUNTIF(Tracker!$G$5:$G$84,"*"&amp;A15&amp;"*")</f>
        <v>11</v>
      </c>
      <c r="C15" s="29" t="n">
        <f aca="false">COUNTIFS(Tracker!$G$5:$G$84,"*"&amp;A15&amp;"*",Tracker!$I$5:$I$84,"Done")</f>
        <v>0</v>
      </c>
      <c r="D15" s="29" t="n">
        <f aca="false">COUNTIFS(Tracker!$G$5:$G$84,"*"&amp;A15&amp;"*",Tracker!$J$5:$J$84,"Done")</f>
        <v>0</v>
      </c>
      <c r="E15" s="29" t="n">
        <f aca="false">COUNTIFS(Tracker!$G$5:$G$84,"*"&amp;A15&amp;"*",Tracker!$K$5:$K$84,"Done")</f>
        <v>0</v>
      </c>
      <c r="F15" s="30" t="str">
        <f aca="false">IFERROR(AVERAGEIFS(Tracker!$L$5:$L$84,Tracker!$G$5:$G$84,"*"&amp;A15&amp;"*"),"")</f>
        <v/>
      </c>
      <c r="G15" s="29" t="n">
        <f aca="false">COUNTIFS(Tracker!$G$5:$G$84,"*"&amp;A15&amp;"*",Tracker!$L$5:$L$84,"&lt;=2")</f>
        <v>0</v>
      </c>
    </row>
    <row r="16" customFormat="false" ht="15" hidden="false" customHeight="false" outlineLevel="0" collapsed="false">
      <c r="A16" s="28" t="s">
        <v>81</v>
      </c>
      <c r="B16" s="29" t="n">
        <f aca="false">COUNTIF(Tracker!$G$5:$G$84,"*"&amp;A16&amp;"*")</f>
        <v>19</v>
      </c>
      <c r="C16" s="29" t="n">
        <f aca="false">COUNTIFS(Tracker!$G$5:$G$84,"*"&amp;A16&amp;"*",Tracker!$I$5:$I$84,"Done")</f>
        <v>0</v>
      </c>
      <c r="D16" s="29" t="n">
        <f aca="false">COUNTIFS(Tracker!$G$5:$G$84,"*"&amp;A16&amp;"*",Tracker!$J$5:$J$84,"Done")</f>
        <v>0</v>
      </c>
      <c r="E16" s="29" t="n">
        <f aca="false">COUNTIFS(Tracker!$G$5:$G$84,"*"&amp;A16&amp;"*",Tracker!$K$5:$K$84,"Done")</f>
        <v>0</v>
      </c>
      <c r="F16" s="30" t="str">
        <f aca="false">IFERROR(AVERAGEIFS(Tracker!$L$5:$L$84,Tracker!$G$5:$G$84,"*"&amp;A16&amp;"*"),"")</f>
        <v/>
      </c>
      <c r="G16" s="29" t="n">
        <f aca="false">COUNTIFS(Tracker!$G$5:$G$84,"*"&amp;A16&amp;"*",Tracker!$L$5:$L$84,"&lt;=2")</f>
        <v>0</v>
      </c>
    </row>
    <row r="17" customFormat="false" ht="15" hidden="false" customHeight="false" outlineLevel="0" collapsed="false">
      <c r="A17" s="28" t="s">
        <v>119</v>
      </c>
      <c r="B17" s="29" t="n">
        <f aca="false">COUNTIF(Tracker!$G$5:$G$84,"*"&amp;A17&amp;"*")</f>
        <v>6</v>
      </c>
      <c r="C17" s="29" t="n">
        <f aca="false">COUNTIFS(Tracker!$G$5:$G$84,"*"&amp;A17&amp;"*",Tracker!$I$5:$I$84,"Done")</f>
        <v>0</v>
      </c>
      <c r="D17" s="29" t="n">
        <f aca="false">COUNTIFS(Tracker!$G$5:$G$84,"*"&amp;A17&amp;"*",Tracker!$J$5:$J$84,"Done")</f>
        <v>0</v>
      </c>
      <c r="E17" s="29" t="n">
        <f aca="false">COUNTIFS(Tracker!$G$5:$G$84,"*"&amp;A17&amp;"*",Tracker!$K$5:$K$84,"Done")</f>
        <v>0</v>
      </c>
      <c r="F17" s="30" t="str">
        <f aca="false">IFERROR(AVERAGEIFS(Tracker!$L$5:$L$84,Tracker!$G$5:$G$84,"*"&amp;A17&amp;"*"),"")</f>
        <v/>
      </c>
      <c r="G17" s="29" t="n">
        <f aca="false">COUNTIFS(Tracker!$G$5:$G$84,"*"&amp;A17&amp;"*",Tracker!$L$5:$L$84,"&lt;=2")</f>
        <v>0</v>
      </c>
    </row>
    <row r="19" customFormat="false" ht="15" hidden="false" customHeight="false" outlineLevel="0" collapsed="false">
      <c r="A19" s="3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2026-09-22T17:25:57Z</dcterms:created>
  <dc:creator>openpyxl</dc:creator>
  <dc:description/>
  <dc:language>en-US</dc:language>
  <cp:lastModifiedBy/>
  <dcterms:modified xsi:type="dcterms:W3CDTF">2026-09-22T17:25:57Z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